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_Hướng dẫn" sheetId="1" state="visible" r:id="rId1"/>
    <sheet xmlns:r="http://schemas.openxmlformats.org/officeDocument/2006/relationships" name="0_Đầu vào" sheetId="2" state="visible" r:id="rId2"/>
    <sheet xmlns:r="http://schemas.openxmlformats.org/officeDocument/2006/relationships" name="A_Tài chính căn bản" sheetId="3" state="visible" r:id="rId3"/>
    <sheet xmlns:r="http://schemas.openxmlformats.org/officeDocument/2006/relationships" name="1_Chi phí mỗi việc" sheetId="4" state="visible" r:id="rId4"/>
    <sheet xmlns:r="http://schemas.openxmlformats.org/officeDocument/2006/relationships" name="2_Định giá" sheetId="5" state="visible" r:id="rId5"/>
    <sheet xmlns:r="http://schemas.openxmlformats.org/officeDocument/2006/relationships" name="3_Giả định" sheetId="6" state="visible" r:id="rId6"/>
    <sheet xmlns:r="http://schemas.openxmlformats.org/officeDocument/2006/relationships" name="4_Chỉ số mỗi khách" sheetId="7" state="visible" r:id="rId7"/>
    <sheet xmlns:r="http://schemas.openxmlformats.org/officeDocument/2006/relationships" name="5_Dòng tiền &amp; hiệu quả" sheetId="8" state="visible" r:id="rId8"/>
    <sheet xmlns:r="http://schemas.openxmlformats.org/officeDocument/2006/relationships" name="6_Hiệu quả nội bộ" sheetId="9" state="visible" r:id="rId9"/>
    <sheet xmlns:r="http://schemas.openxmlformats.org/officeDocument/2006/relationships" name="7_Quyết định" sheetId="10" state="visible" r:id="rId10"/>
    <sheet xmlns:r="http://schemas.openxmlformats.org/officeDocument/2006/relationships" name="8_Thang điểm" sheetId="11" state="visible" r:id="rId11"/>
    <sheet xmlns:r="http://schemas.openxmlformats.org/officeDocument/2006/relationships" name="9_Số tham khảo" sheetId="12" state="visible" r:id="rId12"/>
  </sheets>
  <definedNames/>
  <calcPr calcId="124519" fullCalcOnLoad="1" refMode="A1" iterate="0" iterateCount="100" iterateDelta="0.0001"/>
</workbook>
</file>

<file path=xl/styles.xml><?xml version="1.0" encoding="utf-8"?>
<styleSheet xmlns="http://schemas.openxmlformats.org/spreadsheetml/2006/main">
  <numFmts count="8">
    <numFmt numFmtId="164" formatCode="#,##0;[RED]\-#,##0"/>
    <numFmt numFmtId="165" formatCode="#,##0.0;[RED]\-#,##0.0"/>
    <numFmt numFmtId="166" formatCode="#,##0.##"/>
    <numFmt numFmtId="167" formatCode="0.0%"/>
    <numFmt numFmtId="168" formatCode="0.0&quot; tháng&quot;"/>
    <numFmt numFmtId="169" formatCode="0.00\x"/>
    <numFmt numFmtId="170" formatCode="#,##0.0"/>
    <numFmt numFmtId="171" formatCode="&quot;Tháng &quot;0"/>
  </numFmts>
  <fonts count="16">
    <font>
      <name val="Calibri"/>
      <charset val="1"/>
      <family val="2"/>
      <color theme="1"/>
      <sz val="11"/>
    </font>
    <font>
      <name val="Arial"/>
      <family val="0"/>
      <sz val="10"/>
    </font>
    <font>
      <name val="Arial"/>
      <family val="0"/>
      <sz val="10"/>
    </font>
    <font>
      <name val="Arial"/>
      <family val="0"/>
      <sz val="10"/>
    </font>
    <font>
      <name val="Cambria"/>
      <charset val="1"/>
      <family val="0"/>
      <b val="1"/>
      <sz val="14"/>
    </font>
    <font>
      <name val="Cambria"/>
      <charset val="1"/>
      <family val="0"/>
      <i val="1"/>
      <color rgb="FF595959"/>
      <sz val="11"/>
    </font>
    <font>
      <name val="Cambria"/>
      <charset val="1"/>
      <family val="0"/>
      <b val="1"/>
      <sz val="11"/>
    </font>
    <font>
      <name val="Calibri"/>
      <charset val="1"/>
      <family val="0"/>
      <i val="1"/>
      <color rgb="FF595959"/>
      <sz val="11"/>
    </font>
    <font>
      <name val="Cambria"/>
      <charset val="1"/>
      <family val="0"/>
      <b val="1"/>
      <color rgb="FFFFFFFF"/>
      <sz val="11"/>
    </font>
    <font>
      <name val="Calibri"/>
      <charset val="1"/>
      <family val="0"/>
      <i val="1"/>
      <color rgb="FF595959"/>
      <sz val="10"/>
    </font>
    <font>
      <name val="Calibri"/>
      <charset val="1"/>
      <family val="0"/>
      <sz val="11"/>
    </font>
    <font>
      <name val="Calibri"/>
      <charset val="1"/>
      <family val="0"/>
      <b val="1"/>
      <sz val="11"/>
    </font>
    <font>
      <name val="Calibri"/>
      <charset val="1"/>
      <family val="0"/>
      <b val="1"/>
      <color rgb="FFC00000"/>
      <sz val="11"/>
    </font>
    <font>
      <name val="Cambria"/>
      <charset val="1"/>
      <family val="0"/>
      <b val="1"/>
      <sz val="12"/>
    </font>
    <font>
      <name val="Cambria"/>
      <charset val="1"/>
      <family val="0"/>
      <b val="1"/>
      <color rgb="FFC00000"/>
      <sz val="11"/>
    </font>
    <font>
      <name val="Calibri"/>
      <charset val="1"/>
      <family val="0"/>
      <color rgb="FF808080"/>
      <sz val="10"/>
    </font>
  </fonts>
  <fills count="6">
    <fill>
      <patternFill/>
    </fill>
    <fill>
      <patternFill patternType="gray125"/>
    </fill>
    <fill>
      <patternFill patternType="solid">
        <fgColor rgb="FFFFF2CC"/>
        <bgColor rgb="FFE2EFDA"/>
      </patternFill>
    </fill>
    <fill>
      <patternFill patternType="solid">
        <fgColor rgb="FFE2EFDA"/>
        <bgColor rgb="FFD9E1F2"/>
      </patternFill>
    </fill>
    <fill>
      <patternFill patternType="solid">
        <fgColor rgb="FF1F3864"/>
        <bgColor rgb="FF333333"/>
      </patternFill>
    </fill>
    <fill>
      <patternFill patternType="solid">
        <fgColor rgb="FFD9E1F2"/>
        <bgColor rgb="FFE2EFDA"/>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0" fillId="0" borderId="0" applyAlignment="1" pivotButton="0" quotePrefix="0" xfId="0">
      <alignment horizontal="general" vertical="top" wrapText="1"/>
    </xf>
    <xf numFmtId="0" fontId="6"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7" fillId="0" borderId="0" applyAlignment="1" pivotButton="0" quotePrefix="0" xfId="0">
      <alignment horizontal="general" vertical="top" wrapText="1"/>
    </xf>
    <xf numFmtId="0" fontId="5" fillId="0" borderId="0" applyAlignment="1" pivotButton="0" quotePrefix="0" xfId="0">
      <alignment horizontal="general" vertical="bottom"/>
    </xf>
    <xf numFmtId="0" fontId="8" fillId="4" borderId="0" applyAlignment="1" pivotButton="0" quotePrefix="0" xfId="0">
      <alignment horizontal="general" vertical="bottom" wrapText="1"/>
    </xf>
    <xf numFmtId="0" fontId="0" fillId="0" borderId="1" applyAlignment="1" pivotButton="0" quotePrefix="0" xfId="0">
      <alignment horizontal="general" vertical="top" wrapText="1"/>
    </xf>
    <xf numFmtId="0" fontId="0" fillId="2" borderId="1" applyAlignment="1" applyProtection="1" pivotButton="0" quotePrefix="0" xfId="0">
      <alignment horizontal="general" vertical="top" wrapText="1"/>
      <protection locked="0" hidden="0"/>
    </xf>
    <xf numFmtId="0" fontId="9" fillId="0" borderId="0" applyAlignment="1" pivotButton="0" quotePrefix="0" xfId="0">
      <alignment horizontal="general" vertical="top" wrapText="1"/>
    </xf>
    <xf numFmtId="0" fontId="8" fillId="4" borderId="0" applyAlignment="1" pivotButton="0" quotePrefix="0" xfId="0">
      <alignment horizontal="general" vertical="center" wrapText="1"/>
    </xf>
    <xf numFmtId="0" fontId="10" fillId="0" borderId="1" applyAlignment="1" pivotButton="0" quotePrefix="0" xfId="0">
      <alignment horizontal="center" vertical="center"/>
    </xf>
    <xf numFmtId="0" fontId="10" fillId="0" borderId="1" applyAlignment="1" pivotButton="0" quotePrefix="0" xfId="0">
      <alignment horizontal="general" vertical="center"/>
    </xf>
    <xf numFmtId="164" fontId="10" fillId="0" borderId="1" applyAlignment="1" pivotButton="0" quotePrefix="0" xfId="0">
      <alignment horizontal="general" vertical="center"/>
    </xf>
    <xf numFmtId="0" fontId="10" fillId="0" borderId="1" applyAlignment="1" pivotButton="0" quotePrefix="0" xfId="0">
      <alignment horizontal="general" vertical="center" wrapText="1"/>
    </xf>
    <xf numFmtId="0" fontId="10" fillId="2" borderId="1" applyAlignment="1" applyProtection="1" pivotButton="0" quotePrefix="0" xfId="0">
      <alignment horizontal="general" vertical="center" wrapText="1"/>
      <protection locked="0" hidden="0"/>
    </xf>
    <xf numFmtId="0" fontId="6" fillId="0" borderId="0" applyAlignment="1" pivotButton="0" quotePrefix="0" xfId="0">
      <alignment horizontal="general" vertical="top" wrapText="1"/>
    </xf>
    <xf numFmtId="0" fontId="10" fillId="0" borderId="1" applyAlignment="1" pivotButton="0" quotePrefix="0" xfId="0">
      <alignment horizontal="general" vertical="bottom"/>
    </xf>
    <xf numFmtId="164" fontId="10" fillId="2" borderId="1" applyAlignment="1" applyProtection="1" pivotButton="0" quotePrefix="0" xfId="0">
      <alignment horizontal="general" vertical="bottom"/>
      <protection locked="0" hidden="0"/>
    </xf>
    <xf numFmtId="164" fontId="10" fillId="3" borderId="1" applyAlignment="1" pivotButton="0" quotePrefix="0" xfId="0">
      <alignment horizontal="general" vertical="bottom"/>
    </xf>
    <xf numFmtId="0" fontId="11" fillId="0" borderId="1" applyAlignment="1" pivotButton="0" quotePrefix="0" xfId="0">
      <alignment horizontal="general" vertical="bottom"/>
    </xf>
    <xf numFmtId="164" fontId="11" fillId="3" borderId="1" applyAlignment="1" pivotButton="0" quotePrefix="0" xfId="0">
      <alignment horizontal="general" vertical="bottom"/>
    </xf>
    <xf numFmtId="0" fontId="10" fillId="3" borderId="1" applyAlignment="1" pivotButton="0" quotePrefix="0" xfId="0">
      <alignment horizontal="general" vertical="bottom"/>
    </xf>
    <xf numFmtId="9" fontId="10" fillId="3" borderId="1" applyAlignment="1" pivotButton="0" quotePrefix="0" xfId="0">
      <alignment horizontal="general" vertical="bottom"/>
    </xf>
    <xf numFmtId="0" fontId="11" fillId="0" borderId="1" applyAlignment="1" pivotButton="0" quotePrefix="0" xfId="0">
      <alignment horizontal="general" vertical="top" wrapText="1"/>
    </xf>
    <xf numFmtId="0" fontId="11" fillId="3" borderId="1" applyAlignment="1" pivotButton="0" quotePrefix="0" xfId="0">
      <alignment horizontal="general" vertical="top" wrapText="1"/>
    </xf>
    <xf numFmtId="0" fontId="11" fillId="3" borderId="1" applyAlignment="1" pivotButton="0" quotePrefix="0" xfId="0">
      <alignment horizontal="general" vertical="bottom"/>
    </xf>
    <xf numFmtId="0" fontId="10" fillId="0" borderId="1" applyAlignment="1" pivotButton="0" quotePrefix="0" xfId="0">
      <alignment horizontal="general" vertical="top" wrapText="1"/>
    </xf>
    <xf numFmtId="164" fontId="10" fillId="0" borderId="1" applyAlignment="1" pivotButton="0" quotePrefix="0" xfId="0">
      <alignment horizontal="general" vertical="bottom"/>
    </xf>
    <xf numFmtId="0" fontId="10" fillId="2" borderId="1" applyAlignment="1" applyProtection="1" pivotButton="0" quotePrefix="0" xfId="0">
      <alignment horizontal="general" vertical="top" wrapText="1"/>
      <protection locked="0" hidden="0"/>
    </xf>
    <xf numFmtId="9" fontId="10" fillId="0" borderId="1" applyAlignment="1" pivotButton="0" quotePrefix="0" xfId="0">
      <alignment horizontal="general" vertical="bottom"/>
    </xf>
    <xf numFmtId="165" fontId="10" fillId="2" borderId="1" applyAlignment="1" applyProtection="1" pivotButton="0" quotePrefix="0" xfId="0">
      <alignment horizontal="general" vertical="bottom"/>
      <protection locked="0" hidden="0"/>
    </xf>
    <xf numFmtId="0" fontId="10" fillId="2" borderId="1" applyAlignment="1" applyProtection="1" pivotButton="0" quotePrefix="0" xfId="0">
      <alignment horizontal="general" vertical="bottom"/>
      <protection locked="0" hidden="0"/>
    </xf>
    <xf numFmtId="0" fontId="12" fillId="0" borderId="0" applyAlignment="1" pivotButton="0" quotePrefix="0" xfId="0">
      <alignment horizontal="general" vertical="top" wrapText="1"/>
    </xf>
    <xf numFmtId="0" fontId="0" fillId="0" borderId="1" applyAlignment="1" pivotButton="0" quotePrefix="0" xfId="0">
      <alignment horizontal="general" vertical="center"/>
    </xf>
    <xf numFmtId="0" fontId="0" fillId="2" borderId="0" applyAlignment="1" applyProtection="1" pivotButton="0" quotePrefix="0" xfId="0">
      <alignment horizontal="general" vertical="center"/>
      <protection locked="0" hidden="0"/>
    </xf>
    <xf numFmtId="0" fontId="0" fillId="0" borderId="0" applyAlignment="1" pivotButton="0" quotePrefix="0" xfId="0">
      <alignment horizontal="general" vertical="center"/>
    </xf>
    <xf numFmtId="0" fontId="0" fillId="2" borderId="0" applyAlignment="1" applyProtection="1" pivotButton="0" quotePrefix="0" xfId="0">
      <alignment horizontal="general" vertical="center" wrapText="1"/>
      <protection locked="0" hidden="0"/>
    </xf>
    <xf numFmtId="0" fontId="9" fillId="0" borderId="0" applyAlignment="1" pivotButton="0" quotePrefix="0" xfId="0">
      <alignment horizontal="general" vertical="center" wrapText="1"/>
    </xf>
    <xf numFmtId="166" fontId="0" fillId="2" borderId="1" applyAlignment="1" applyProtection="1" pivotButton="0" quotePrefix="0" xfId="0">
      <alignment horizontal="general" vertical="center"/>
      <protection locked="0" hidden="0"/>
    </xf>
    <xf numFmtId="167" fontId="0" fillId="2" borderId="1" applyAlignment="1" applyProtection="1" pivotButton="0" quotePrefix="0" xfId="0">
      <alignment horizontal="general" vertical="center"/>
      <protection locked="0" hidden="0"/>
    </xf>
    <xf numFmtId="0" fontId="0" fillId="0" borderId="1" applyAlignment="1" pivotButton="0" quotePrefix="0" xfId="0">
      <alignment horizontal="general" vertical="bottom"/>
    </xf>
    <xf numFmtId="164" fontId="0" fillId="3" borderId="1" applyAlignment="1" pivotButton="0" quotePrefix="0" xfId="0">
      <alignment horizontal="general" vertical="bottom"/>
    </xf>
    <xf numFmtId="164" fontId="6" fillId="3" borderId="1" applyAlignment="1" pivotButton="0" quotePrefix="0" xfId="0">
      <alignment horizontal="general" vertical="bottom"/>
    </xf>
    <xf numFmtId="0" fontId="9" fillId="0" borderId="0" applyAlignment="1" pivotButton="0" quotePrefix="0" xfId="0">
      <alignment horizontal="general" vertical="top" wrapText="1"/>
    </xf>
    <xf numFmtId="167" fontId="0" fillId="3" borderId="1" applyAlignment="1" pivotButton="0" quotePrefix="0" xfId="0">
      <alignment horizontal="general" vertical="bottom"/>
    </xf>
    <xf numFmtId="0" fontId="9" fillId="0" borderId="0" applyAlignment="1" pivotButton="0" quotePrefix="0" xfId="0">
      <alignment horizontal="general" vertical="bottom"/>
    </xf>
    <xf numFmtId="0" fontId="0" fillId="2" borderId="0" applyAlignment="1" applyProtection="1" pivotButton="0" quotePrefix="0" xfId="0">
      <alignment horizontal="general" vertical="bottom" wrapText="1"/>
      <protection locked="0" hidden="0"/>
    </xf>
    <xf numFmtId="0" fontId="10" fillId="2" borderId="0" applyAlignment="1" applyProtection="1" pivotButton="0" quotePrefix="0" xfId="0">
      <alignment horizontal="general" vertical="bottom"/>
      <protection locked="0" hidden="0"/>
    </xf>
    <xf numFmtId="164" fontId="0" fillId="2" borderId="1" applyAlignment="1" applyProtection="1" pivotButton="0" quotePrefix="0" xfId="0">
      <alignment horizontal="general" vertical="bottom"/>
      <protection locked="0" hidden="0"/>
    </xf>
    <xf numFmtId="0" fontId="8" fillId="4" borderId="0" applyAlignment="1" pivotButton="0" quotePrefix="0" xfId="0">
      <alignment horizontal="general" vertical="top" wrapText="1"/>
    </xf>
    <xf numFmtId="167" fontId="0" fillId="2" borderId="1" applyAlignment="1" applyProtection="1" pivotButton="0" quotePrefix="0" xfId="0">
      <alignment horizontal="general" vertical="bottom"/>
      <protection locked="0" hidden="0"/>
    </xf>
    <xf numFmtId="3" fontId="0" fillId="2" borderId="1" applyAlignment="1" applyProtection="1" pivotButton="0" quotePrefix="0" xfId="0">
      <alignment horizontal="general" vertical="bottom"/>
      <protection locked="0" hidden="0"/>
    </xf>
    <xf numFmtId="3" fontId="0" fillId="3" borderId="1" applyAlignment="1" pivotButton="0" quotePrefix="0" xfId="0">
      <alignment horizontal="general" vertical="bottom"/>
    </xf>
    <xf numFmtId="167" fontId="6" fillId="3" borderId="1" applyAlignment="1" pivotButton="0" quotePrefix="0" xfId="0">
      <alignment horizontal="general" vertical="bottom"/>
    </xf>
    <xf numFmtId="0" fontId="0" fillId="3" borderId="1" applyAlignment="1" pivotButton="0" quotePrefix="0" xfId="0">
      <alignment horizontal="general" vertical="bottom"/>
    </xf>
    <xf numFmtId="9" fontId="10" fillId="2" borderId="1" applyAlignment="1" applyProtection="1" pivotButton="0" quotePrefix="0" xfId="0">
      <alignment horizontal="general" vertical="bottom"/>
      <protection locked="0" hidden="0"/>
    </xf>
    <xf numFmtId="0" fontId="10" fillId="3" borderId="1" applyAlignment="1" pivotButton="0" quotePrefix="0" xfId="0">
      <alignment horizontal="general" vertical="top" wrapText="1"/>
    </xf>
    <xf numFmtId="2" fontId="10" fillId="3" borderId="1" applyAlignment="1" pivotButton="0" quotePrefix="0" xfId="0">
      <alignment horizontal="general" vertical="bottom"/>
    </xf>
    <xf numFmtId="167" fontId="11" fillId="3" borderId="1" applyAlignment="1" pivotButton="0" quotePrefix="0" xfId="0">
      <alignment horizontal="general" vertical="bottom"/>
    </xf>
    <xf numFmtId="0" fontId="0" fillId="0" borderId="1" applyAlignment="1" pivotButton="0" quotePrefix="0" xfId="0">
      <alignment horizontal="general" vertical="center" wrapText="1"/>
    </xf>
    <xf numFmtId="2" fontId="0" fillId="2" borderId="1" applyAlignment="1" applyProtection="1" pivotButton="0" quotePrefix="0" xfId="0">
      <alignment horizontal="general" vertical="center"/>
      <protection locked="0" hidden="0"/>
    </xf>
    <xf numFmtId="0" fontId="10" fillId="2" borderId="0" applyAlignment="1" applyProtection="1" pivotButton="0" quotePrefix="0" xfId="0">
      <alignment horizontal="general" vertical="center" wrapText="1"/>
      <protection locked="0" hidden="0"/>
    </xf>
    <xf numFmtId="3" fontId="0" fillId="2" borderId="1" applyAlignment="1" applyProtection="1" pivotButton="0" quotePrefix="0" xfId="0">
      <alignment horizontal="general" vertical="center"/>
      <protection locked="0" hidden="0"/>
    </xf>
    <xf numFmtId="164" fontId="0" fillId="2" borderId="1" applyAlignment="1" applyProtection="1" pivotButton="0" quotePrefix="0" xfId="0">
      <alignment horizontal="general" vertical="center"/>
      <protection locked="0" hidden="0"/>
    </xf>
    <xf numFmtId="0" fontId="10" fillId="2" borderId="0" applyAlignment="1" applyProtection="1" pivotButton="0" quotePrefix="0" xfId="0">
      <alignment horizontal="general" vertical="center"/>
      <protection locked="0" hidden="0"/>
    </xf>
    <xf numFmtId="168" fontId="0" fillId="3" borderId="1" applyAlignment="1" pivotButton="0" quotePrefix="0" xfId="0">
      <alignment horizontal="general" vertical="bottom"/>
    </xf>
    <xf numFmtId="169" fontId="6" fillId="3" borderId="1" applyAlignment="1" pivotButton="0" quotePrefix="0" xfId="0">
      <alignment horizontal="general" vertical="bottom"/>
    </xf>
    <xf numFmtId="0" fontId="6" fillId="3" borderId="1" applyAlignment="1" pivotButton="0" quotePrefix="0" xfId="0">
      <alignment horizontal="general" vertical="bottom"/>
    </xf>
    <xf numFmtId="0" fontId="6" fillId="5" borderId="0" applyAlignment="1" pivotButton="0" quotePrefix="0" xfId="0">
      <alignment horizontal="general" vertical="bottom"/>
    </xf>
    <xf numFmtId="170" fontId="0" fillId="0" borderId="0" applyAlignment="1" pivotButton="0" quotePrefix="0" xfId="0">
      <alignment horizontal="general" vertical="bottom"/>
    </xf>
    <xf numFmtId="164" fontId="0" fillId="0" borderId="0" applyAlignment="1" pivotButton="0" quotePrefix="0" xfId="0">
      <alignment horizontal="general" vertical="bottom"/>
    </xf>
    <xf numFmtId="0" fontId="13" fillId="0" borderId="0" applyAlignment="1" pivotButton="0" quotePrefix="0" xfId="0">
      <alignment horizontal="general" vertical="bottom"/>
    </xf>
    <xf numFmtId="171" fontId="0" fillId="3" borderId="1" applyAlignment="1" pivotButton="0" quotePrefix="0" xfId="0">
      <alignment horizontal="general" vertical="bottom"/>
    </xf>
    <xf numFmtId="0" fontId="10" fillId="0" borderId="0" applyAlignment="1" pivotButton="0" quotePrefix="0" xfId="0">
      <alignment horizontal="general" vertical="bottom"/>
    </xf>
    <xf numFmtId="9" fontId="10" fillId="2" borderId="0" applyAlignment="1" applyProtection="1" pivotButton="0" quotePrefix="0" xfId="0">
      <alignment horizontal="general" vertical="bottom"/>
      <protection locked="0" hidden="0"/>
    </xf>
    <xf numFmtId="0" fontId="8" fillId="4" borderId="0" applyAlignment="1" pivotButton="0" quotePrefix="0" xfId="0">
      <alignment horizontal="left" vertical="center" wrapText="1"/>
    </xf>
    <xf numFmtId="0" fontId="8" fillId="4" borderId="0" applyAlignment="1" pivotButton="0" quotePrefix="0" xfId="0">
      <alignment horizontal="center" vertical="center" wrapText="1"/>
    </xf>
    <xf numFmtId="0" fontId="10" fillId="0" borderId="0" applyAlignment="1" pivotButton="0" quotePrefix="0" xfId="0">
      <alignment horizontal="center" vertical="bottom"/>
    </xf>
    <xf numFmtId="164" fontId="10" fillId="3" borderId="0" applyAlignment="1" pivotButton="0" quotePrefix="0" xfId="0">
      <alignment horizontal="general" vertical="bottom"/>
    </xf>
    <xf numFmtId="171" fontId="10" fillId="3" borderId="0" applyAlignment="1" pivotButton="0" quotePrefix="0" xfId="0">
      <alignment horizontal="general" vertical="center" wrapText="1"/>
    </xf>
    <xf numFmtId="1" fontId="10" fillId="3" borderId="0" applyAlignment="1" pivotButton="0" quotePrefix="0" xfId="0">
      <alignment horizontal="center" vertical="bottom"/>
    </xf>
    <xf numFmtId="167" fontId="10" fillId="3" borderId="0" applyAlignment="1" pivotButton="0" quotePrefix="0" xfId="0">
      <alignment horizontal="general" vertical="bottom"/>
    </xf>
    <xf numFmtId="170" fontId="10" fillId="3" borderId="0" applyAlignment="1" pivotButton="0" quotePrefix="0" xfId="0">
      <alignment horizontal="general" vertical="bottom"/>
    </xf>
    <xf numFmtId="0" fontId="14" fillId="3" borderId="0" applyAlignment="1" pivotButton="0" quotePrefix="0" xfId="0">
      <alignment horizontal="general" vertical="bottom"/>
    </xf>
    <xf numFmtId="0" fontId="6" fillId="0" borderId="0" applyAlignment="1" pivotButton="0" quotePrefix="0" xfId="0">
      <alignment horizontal="general" vertical="center" wrapText="1"/>
    </xf>
    <xf numFmtId="0" fontId="8" fillId="4" borderId="0" applyAlignment="1" pivotButton="0" quotePrefix="0" xfId="0">
      <alignment horizontal="general" vertical="center" wrapText="1"/>
    </xf>
    <xf numFmtId="167" fontId="10" fillId="3" borderId="1" applyAlignment="1" pivotButton="0" quotePrefix="0" xfId="0">
      <alignment horizontal="general" vertical="bottom"/>
    </xf>
    <xf numFmtId="165" fontId="10" fillId="3" borderId="1" applyAlignment="1" pivotButton="0" quotePrefix="0" xfId="0">
      <alignment horizontal="general" vertical="bottom"/>
    </xf>
    <xf numFmtId="165" fontId="11" fillId="3" borderId="1" applyAlignment="1" pivotButton="0" quotePrefix="0" xfId="0">
      <alignment horizontal="general" vertical="bottom"/>
    </xf>
    <xf numFmtId="0" fontId="15" fillId="0" borderId="0" applyAlignment="1" pivotButton="0" quotePrefix="0" xfId="0">
      <alignment horizontal="general" vertical="bottom"/>
    </xf>
    <xf numFmtId="164" fontId="15" fillId="0" borderId="0" applyAlignment="1" pivotButton="0" quotePrefix="0" xfId="0">
      <alignment horizontal="general" vertical="bottom"/>
    </xf>
    <xf numFmtId="170" fontId="15" fillId="0" borderId="0" applyAlignment="1" pivotButton="0" quotePrefix="0" xfId="0">
      <alignment horizontal="general" vertical="bottom"/>
    </xf>
    <xf numFmtId="167" fontId="15" fillId="0" borderId="0" applyAlignment="1" pivotButton="0" quotePrefix="0" xfId="0">
      <alignment horizontal="general" vertical="bottom"/>
    </xf>
    <xf numFmtId="0" fontId="12" fillId="0" borderId="0" applyAlignment="1" pivotButton="0" quotePrefix="0" xfId="0">
      <alignment horizontal="general" vertical="bottom"/>
    </xf>
    <xf numFmtId="170" fontId="0" fillId="2" borderId="1" applyAlignment="1" applyProtection="1" pivotButton="0" quotePrefix="0" xfId="0">
      <alignment horizontal="general" vertical="center"/>
      <protection locked="0" hidden="0"/>
    </xf>
    <xf numFmtId="168" fontId="6" fillId="3" borderId="1" applyAlignment="1" pivotButton="0" quotePrefix="0" xfId="0">
      <alignment horizontal="general" vertical="bottom"/>
    </xf>
    <xf numFmtId="0" fontId="5" fillId="0" borderId="0" applyAlignment="1" pivotButton="0" quotePrefix="0" xfId="0">
      <alignment horizontal="general" vertical="top" wrapText="1"/>
    </xf>
    <xf numFmtId="169" fontId="0" fillId="3" borderId="1" applyAlignment="1" pivotButton="0" quotePrefix="0" xfId="0">
      <alignment horizontal="general" vertical="bottom"/>
    </xf>
    <xf numFmtId="0" fontId="13" fillId="0" borderId="0" applyAlignment="1" pivotButton="0" quotePrefix="0" xfId="0">
      <alignment horizontal="general" vertical="top" wrapText="1"/>
    </xf>
    <xf numFmtId="0" fontId="0" fillId="2" borderId="0" applyAlignment="1" applyProtection="1" pivotButton="0" quotePrefix="0" xfId="0">
      <alignment horizontal="general" vertical="bottom" wrapText="1"/>
      <protection locked="0" hidden="0"/>
    </xf>
    <xf numFmtId="0" fontId="0" fillId="2" borderId="0" applyAlignment="1" applyProtection="1" pivotButton="0" quotePrefix="0" xfId="0">
      <alignment horizontal="general" vertical="bottom"/>
      <protection locked="0" hidden="0"/>
    </xf>
    <xf numFmtId="0" fontId="6" fillId="0" borderId="0" applyAlignment="1" pivotButton="0" quotePrefix="0" xfId="0">
      <alignment horizontal="general" vertical="top" wrapText="1"/>
    </xf>
    <xf numFmtId="0" fontId="10" fillId="0" borderId="0" applyAlignment="1" pivotButton="0" quotePrefix="0" xfId="0">
      <alignment horizontal="general" vertical="top" wrapText="1"/>
    </xf>
    <xf numFmtId="2" fontId="10" fillId="0" borderId="0" applyAlignment="1" pivotButton="0" quotePrefix="0" xfId="0">
      <alignment horizontal="general" vertical="bottom"/>
    </xf>
    <xf numFmtId="3" fontId="10" fillId="0" borderId="0" applyAlignment="1" pivotButton="0" quotePrefix="0" xfId="0">
      <alignment horizontal="general" vertical="bottom"/>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0" fillId="0" borderId="0" applyAlignment="1" pivotButton="0" quotePrefix="0" xfId="0">
      <alignment horizontal="general" vertical="top" wrapText="1"/>
    </xf>
    <xf numFmtId="0" fontId="6"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7" fillId="0" borderId="0" applyAlignment="1" pivotButton="0" quotePrefix="0" xfId="0">
      <alignment horizontal="general" vertical="top" wrapText="1"/>
    </xf>
    <xf numFmtId="0" fontId="5" fillId="0" borderId="0" applyAlignment="1" pivotButton="0" quotePrefix="0" xfId="0">
      <alignment horizontal="general" vertical="bottom"/>
    </xf>
    <xf numFmtId="0" fontId="8" fillId="4" borderId="0" applyAlignment="1" pivotButton="0" quotePrefix="0" xfId="0">
      <alignment horizontal="general" vertical="bottom" wrapText="1"/>
    </xf>
    <xf numFmtId="0" fontId="0" fillId="0" borderId="1" applyAlignment="1" pivotButton="0" quotePrefix="0" xfId="0">
      <alignment horizontal="general" vertical="top" wrapText="1"/>
    </xf>
    <xf numFmtId="0" fontId="0" fillId="2" borderId="1" applyAlignment="1" applyProtection="1" pivotButton="0" quotePrefix="0" xfId="0">
      <alignment horizontal="general" vertical="top" wrapText="1"/>
      <protection locked="0" hidden="0"/>
    </xf>
    <xf numFmtId="0" fontId="9" fillId="0" borderId="0" applyAlignment="1" pivotButton="0" quotePrefix="0" xfId="0">
      <alignment horizontal="general" vertical="top" wrapText="1"/>
    </xf>
    <xf numFmtId="0" fontId="8" fillId="4" borderId="0" applyAlignment="1" pivotButton="0" quotePrefix="0" xfId="0">
      <alignment horizontal="general" vertical="center" wrapText="1"/>
    </xf>
    <xf numFmtId="0" fontId="10" fillId="0" borderId="1" applyAlignment="1" pivotButton="0" quotePrefix="0" xfId="0">
      <alignment horizontal="center" vertical="center"/>
    </xf>
    <xf numFmtId="0" fontId="10" fillId="0" borderId="1" applyAlignment="1" pivotButton="0" quotePrefix="0" xfId="0">
      <alignment horizontal="general" vertical="center"/>
    </xf>
    <xf numFmtId="164" fontId="10" fillId="0" borderId="1" applyAlignment="1" pivotButton="0" quotePrefix="0" xfId="0">
      <alignment horizontal="general" vertical="center"/>
    </xf>
    <xf numFmtId="0" fontId="10" fillId="0" borderId="1" applyAlignment="1" pivotButton="0" quotePrefix="0" xfId="0">
      <alignment horizontal="general" vertical="center" wrapText="1"/>
    </xf>
    <xf numFmtId="0" fontId="10" fillId="2" borderId="1" applyAlignment="1" applyProtection="1" pivotButton="0" quotePrefix="0" xfId="0">
      <alignment horizontal="general" vertical="center" wrapText="1"/>
      <protection locked="0" hidden="0"/>
    </xf>
    <xf numFmtId="0" fontId="6" fillId="0" borderId="0" applyAlignment="1" pivotButton="0" quotePrefix="0" xfId="0">
      <alignment horizontal="general" vertical="top" wrapText="1"/>
    </xf>
    <xf numFmtId="0" fontId="10" fillId="0" borderId="1" applyAlignment="1" pivotButton="0" quotePrefix="0" xfId="0">
      <alignment horizontal="general" vertical="bottom"/>
    </xf>
    <xf numFmtId="164" fontId="10" fillId="2" borderId="1" applyAlignment="1" applyProtection="1" pivotButton="0" quotePrefix="0" xfId="0">
      <alignment horizontal="general" vertical="bottom"/>
      <protection locked="0" hidden="0"/>
    </xf>
    <xf numFmtId="164" fontId="10" fillId="3" borderId="1" applyAlignment="1" pivotButton="0" quotePrefix="0" xfId="0">
      <alignment horizontal="general" vertical="bottom"/>
    </xf>
    <xf numFmtId="0" fontId="11" fillId="0" borderId="1" applyAlignment="1" pivotButton="0" quotePrefix="0" xfId="0">
      <alignment horizontal="general" vertical="bottom"/>
    </xf>
    <xf numFmtId="164" fontId="11" fillId="3" borderId="1" applyAlignment="1" pivotButton="0" quotePrefix="0" xfId="0">
      <alignment horizontal="general" vertical="bottom"/>
    </xf>
    <xf numFmtId="0" fontId="10" fillId="3" borderId="1" applyAlignment="1" pivotButton="0" quotePrefix="0" xfId="0">
      <alignment horizontal="general" vertical="bottom"/>
    </xf>
    <xf numFmtId="9" fontId="10" fillId="3" borderId="1" applyAlignment="1" pivotButton="0" quotePrefix="0" xfId="0">
      <alignment horizontal="general" vertical="bottom"/>
    </xf>
    <xf numFmtId="0" fontId="11" fillId="0" borderId="1" applyAlignment="1" pivotButton="0" quotePrefix="0" xfId="0">
      <alignment horizontal="general" vertical="top" wrapText="1"/>
    </xf>
    <xf numFmtId="0" fontId="11" fillId="3" borderId="1" applyAlignment="1" pivotButton="0" quotePrefix="0" xfId="0">
      <alignment horizontal="general" vertical="top" wrapText="1"/>
    </xf>
    <xf numFmtId="0" fontId="11" fillId="3" borderId="1" applyAlignment="1" pivotButton="0" quotePrefix="0" xfId="0">
      <alignment horizontal="general" vertical="bottom"/>
    </xf>
    <xf numFmtId="0" fontId="10" fillId="0" borderId="1" applyAlignment="1" pivotButton="0" quotePrefix="0" xfId="0">
      <alignment horizontal="general" vertical="top" wrapText="1"/>
    </xf>
    <xf numFmtId="164" fontId="10" fillId="0" borderId="1" applyAlignment="1" pivotButton="0" quotePrefix="0" xfId="0">
      <alignment horizontal="general" vertical="bottom"/>
    </xf>
    <xf numFmtId="0" fontId="10" fillId="2" borderId="1" applyAlignment="1" applyProtection="1" pivotButton="0" quotePrefix="0" xfId="0">
      <alignment horizontal="general" vertical="top" wrapText="1"/>
      <protection locked="0" hidden="0"/>
    </xf>
    <xf numFmtId="0" fontId="0" fillId="0" borderId="4" applyProtection="1" pivotButton="0" quotePrefix="0" xfId="0">
      <protection locked="0" hidden="0"/>
    </xf>
    <xf numFmtId="0" fontId="0" fillId="0" borderId="5" applyProtection="1" pivotButton="0" quotePrefix="0" xfId="0">
      <protection locked="0" hidden="0"/>
    </xf>
    <xf numFmtId="9" fontId="10" fillId="0" borderId="1" applyAlignment="1" pivotButton="0" quotePrefix="0" xfId="0">
      <alignment horizontal="general" vertical="bottom"/>
    </xf>
    <xf numFmtId="165" fontId="10" fillId="2" borderId="1" applyAlignment="1" applyProtection="1" pivotButton="0" quotePrefix="0" xfId="0">
      <alignment horizontal="general" vertical="bottom"/>
      <protection locked="0" hidden="0"/>
    </xf>
    <xf numFmtId="0" fontId="10" fillId="2" borderId="1" applyAlignment="1" applyProtection="1" pivotButton="0" quotePrefix="0" xfId="0">
      <alignment horizontal="general" vertical="bottom"/>
      <protection locked="0" hidden="0"/>
    </xf>
    <xf numFmtId="0" fontId="12" fillId="0" borderId="0" applyAlignment="1" pivotButton="0" quotePrefix="0" xfId="0">
      <alignment horizontal="general" vertical="top" wrapText="1"/>
    </xf>
    <xf numFmtId="0" fontId="0" fillId="0" borderId="1" applyAlignment="1" pivotButton="0" quotePrefix="0" xfId="0">
      <alignment horizontal="general" vertical="center"/>
    </xf>
    <xf numFmtId="0" fontId="0" fillId="2" borderId="0" applyAlignment="1" applyProtection="1" pivotButton="0" quotePrefix="0" xfId="0">
      <alignment horizontal="general" vertical="center"/>
      <protection locked="0" hidden="0"/>
    </xf>
    <xf numFmtId="0" fontId="0" fillId="0" borderId="0" applyAlignment="1" pivotButton="0" quotePrefix="0" xfId="0">
      <alignment horizontal="general" vertical="center"/>
    </xf>
    <xf numFmtId="0" fontId="0" fillId="2" borderId="0" applyAlignment="1" applyProtection="1" pivotButton="0" quotePrefix="0" xfId="0">
      <alignment horizontal="general" vertical="center" wrapText="1"/>
      <protection locked="0" hidden="0"/>
    </xf>
    <xf numFmtId="0" fontId="9" fillId="0" borderId="0" applyAlignment="1" pivotButton="0" quotePrefix="0" xfId="0">
      <alignment horizontal="general" vertical="center" wrapText="1"/>
    </xf>
    <xf numFmtId="166" fontId="0" fillId="2" borderId="1" applyAlignment="1" applyProtection="1" pivotButton="0" quotePrefix="0" xfId="0">
      <alignment horizontal="general" vertical="center"/>
      <protection locked="0" hidden="0"/>
    </xf>
    <xf numFmtId="167" fontId="0" fillId="2" borderId="1" applyAlignment="1" applyProtection="1" pivotButton="0" quotePrefix="0" xfId="0">
      <alignment horizontal="general" vertical="center"/>
      <protection locked="0" hidden="0"/>
    </xf>
    <xf numFmtId="0" fontId="0" fillId="0" borderId="1" applyAlignment="1" pivotButton="0" quotePrefix="0" xfId="0">
      <alignment horizontal="general" vertical="bottom"/>
    </xf>
    <xf numFmtId="164" fontId="0" fillId="3" borderId="1" applyAlignment="1" pivotButton="0" quotePrefix="0" xfId="0">
      <alignment horizontal="general" vertical="bottom"/>
    </xf>
    <xf numFmtId="164" fontId="6" fillId="3" borderId="1" applyAlignment="1" pivotButton="0" quotePrefix="0" xfId="0">
      <alignment horizontal="general" vertical="bottom"/>
    </xf>
    <xf numFmtId="167" fontId="0" fillId="3" borderId="1" applyAlignment="1" pivotButton="0" quotePrefix="0" xfId="0">
      <alignment horizontal="general" vertical="bottom"/>
    </xf>
    <xf numFmtId="0" fontId="9" fillId="0" borderId="0" applyAlignment="1" pivotButton="0" quotePrefix="0" xfId="0">
      <alignment horizontal="general" vertical="bottom"/>
    </xf>
    <xf numFmtId="0" fontId="0" fillId="2" borderId="0" applyAlignment="1" applyProtection="1" pivotButton="0" quotePrefix="0" xfId="0">
      <alignment horizontal="general" vertical="bottom" wrapText="1"/>
      <protection locked="0" hidden="0"/>
    </xf>
    <xf numFmtId="0" fontId="10" fillId="2" borderId="0" applyAlignment="1" applyProtection="1" pivotButton="0" quotePrefix="0" xfId="0">
      <alignment horizontal="general" vertical="bottom"/>
      <protection locked="0" hidden="0"/>
    </xf>
    <xf numFmtId="164" fontId="0" fillId="2" borderId="1" applyAlignment="1" applyProtection="1" pivotButton="0" quotePrefix="0" xfId="0">
      <alignment horizontal="general" vertical="bottom"/>
      <protection locked="0" hidden="0"/>
    </xf>
    <xf numFmtId="0" fontId="8" fillId="4" borderId="0" applyAlignment="1" pivotButton="0" quotePrefix="0" xfId="0">
      <alignment horizontal="general" vertical="top" wrapText="1"/>
    </xf>
    <xf numFmtId="167" fontId="0" fillId="2" borderId="1" applyAlignment="1" applyProtection="1" pivotButton="0" quotePrefix="0" xfId="0">
      <alignment horizontal="general" vertical="bottom"/>
      <protection locked="0" hidden="0"/>
    </xf>
    <xf numFmtId="3" fontId="0" fillId="2" borderId="1" applyAlignment="1" applyProtection="1" pivotButton="0" quotePrefix="0" xfId="0">
      <alignment horizontal="general" vertical="bottom"/>
      <protection locked="0" hidden="0"/>
    </xf>
    <xf numFmtId="3" fontId="0" fillId="3" borderId="1" applyAlignment="1" pivotButton="0" quotePrefix="0" xfId="0">
      <alignment horizontal="general" vertical="bottom"/>
    </xf>
    <xf numFmtId="167" fontId="6" fillId="3" borderId="1" applyAlignment="1" pivotButton="0" quotePrefix="0" xfId="0">
      <alignment horizontal="general" vertical="bottom"/>
    </xf>
    <xf numFmtId="0" fontId="0" fillId="3" borderId="1" applyAlignment="1" pivotButton="0" quotePrefix="0" xfId="0">
      <alignment horizontal="general" vertical="bottom"/>
    </xf>
    <xf numFmtId="9" fontId="10" fillId="2" borderId="1" applyAlignment="1" applyProtection="1" pivotButton="0" quotePrefix="0" xfId="0">
      <alignment horizontal="general" vertical="bottom"/>
      <protection locked="0" hidden="0"/>
    </xf>
    <xf numFmtId="0" fontId="10" fillId="3" borderId="1" applyAlignment="1" pivotButton="0" quotePrefix="0" xfId="0">
      <alignment horizontal="general" vertical="top" wrapText="1"/>
    </xf>
    <xf numFmtId="2" fontId="10" fillId="3" borderId="1" applyAlignment="1" pivotButton="0" quotePrefix="0" xfId="0">
      <alignment horizontal="general" vertical="bottom"/>
    </xf>
    <xf numFmtId="167" fontId="11" fillId="3" borderId="1" applyAlignment="1" pivotButton="0" quotePrefix="0" xfId="0">
      <alignment horizontal="general" vertical="bottom"/>
    </xf>
    <xf numFmtId="0" fontId="0" fillId="0" borderId="1" applyAlignment="1" pivotButton="0" quotePrefix="0" xfId="0">
      <alignment horizontal="general" vertical="center" wrapText="1"/>
    </xf>
    <xf numFmtId="2" fontId="0" fillId="2" borderId="1" applyAlignment="1" applyProtection="1" pivotButton="0" quotePrefix="0" xfId="0">
      <alignment horizontal="general" vertical="center"/>
      <protection locked="0" hidden="0"/>
    </xf>
    <xf numFmtId="0" fontId="10" fillId="2" borderId="0" applyAlignment="1" applyProtection="1" pivotButton="0" quotePrefix="0" xfId="0">
      <alignment horizontal="general" vertical="center" wrapText="1"/>
      <protection locked="0" hidden="0"/>
    </xf>
    <xf numFmtId="3" fontId="0" fillId="2" borderId="1" applyAlignment="1" applyProtection="1" pivotButton="0" quotePrefix="0" xfId="0">
      <alignment horizontal="general" vertical="center"/>
      <protection locked="0" hidden="0"/>
    </xf>
    <xf numFmtId="164" fontId="0" fillId="2" borderId="1" applyAlignment="1" applyProtection="1" pivotButton="0" quotePrefix="0" xfId="0">
      <alignment horizontal="general" vertical="center"/>
      <protection locked="0" hidden="0"/>
    </xf>
    <xf numFmtId="0" fontId="10" fillId="2" borderId="0" applyAlignment="1" applyProtection="1" pivotButton="0" quotePrefix="0" xfId="0">
      <alignment horizontal="general" vertical="center"/>
      <protection locked="0" hidden="0"/>
    </xf>
    <xf numFmtId="168" fontId="0" fillId="3" borderId="1" applyAlignment="1" pivotButton="0" quotePrefix="0" xfId="0">
      <alignment horizontal="general" vertical="bottom"/>
    </xf>
    <xf numFmtId="169" fontId="6" fillId="3" borderId="1" applyAlignment="1" pivotButton="0" quotePrefix="0" xfId="0">
      <alignment horizontal="general" vertical="bottom"/>
    </xf>
    <xf numFmtId="0" fontId="6" fillId="3" borderId="1" applyAlignment="1" pivotButton="0" quotePrefix="0" xfId="0">
      <alignment horizontal="general" vertical="bottom"/>
    </xf>
    <xf numFmtId="0" fontId="6" fillId="5" borderId="0" applyAlignment="1" pivotButton="0" quotePrefix="0" xfId="0">
      <alignment horizontal="general" vertical="bottom"/>
    </xf>
    <xf numFmtId="170" fontId="0" fillId="0" borderId="0" applyAlignment="1" pivotButton="0" quotePrefix="0" xfId="0">
      <alignment horizontal="general" vertical="bottom"/>
    </xf>
    <xf numFmtId="164" fontId="0" fillId="0" borderId="0" applyAlignment="1" pivotButton="0" quotePrefix="0" xfId="0">
      <alignment horizontal="general" vertical="bottom"/>
    </xf>
    <xf numFmtId="0" fontId="13" fillId="0" borderId="0" applyAlignment="1" pivotButton="0" quotePrefix="0" xfId="0">
      <alignment horizontal="general" vertical="bottom"/>
    </xf>
    <xf numFmtId="171" fontId="0" fillId="3" borderId="1" applyAlignment="1" pivotButton="0" quotePrefix="0" xfId="0">
      <alignment horizontal="general" vertical="bottom"/>
    </xf>
    <xf numFmtId="0" fontId="10" fillId="0" borderId="0" applyAlignment="1" pivotButton="0" quotePrefix="0" xfId="0">
      <alignment horizontal="general" vertical="bottom"/>
    </xf>
    <xf numFmtId="9" fontId="10" fillId="2" borderId="0" applyAlignment="1" applyProtection="1" pivotButton="0" quotePrefix="0" xfId="0">
      <alignment horizontal="general" vertical="bottom"/>
      <protection locked="0" hidden="0"/>
    </xf>
    <xf numFmtId="0" fontId="8" fillId="4" borderId="0" applyAlignment="1" pivotButton="0" quotePrefix="0" xfId="0">
      <alignment horizontal="left" vertical="center" wrapText="1"/>
    </xf>
    <xf numFmtId="0" fontId="8" fillId="4" borderId="0" applyAlignment="1" pivotButton="0" quotePrefix="0" xfId="0">
      <alignment horizontal="center" vertical="center" wrapText="1"/>
    </xf>
    <xf numFmtId="0" fontId="10" fillId="0" borderId="0" applyAlignment="1" pivotButton="0" quotePrefix="0" xfId="0">
      <alignment horizontal="center" vertical="bottom"/>
    </xf>
    <xf numFmtId="164" fontId="10" fillId="3" borderId="0" applyAlignment="1" pivotButton="0" quotePrefix="0" xfId="0">
      <alignment horizontal="general" vertical="bottom"/>
    </xf>
    <xf numFmtId="171" fontId="10" fillId="3" borderId="0" applyAlignment="1" pivotButton="0" quotePrefix="0" xfId="0">
      <alignment horizontal="general" vertical="center" wrapText="1"/>
    </xf>
    <xf numFmtId="1" fontId="10" fillId="3" borderId="0" applyAlignment="1" pivotButton="0" quotePrefix="0" xfId="0">
      <alignment horizontal="center" vertical="bottom"/>
    </xf>
    <xf numFmtId="167" fontId="10" fillId="3" borderId="0" applyAlignment="1" pivotButton="0" quotePrefix="0" xfId="0">
      <alignment horizontal="general" vertical="bottom"/>
    </xf>
    <xf numFmtId="170" fontId="10" fillId="3" borderId="0" applyAlignment="1" pivotButton="0" quotePrefix="0" xfId="0">
      <alignment horizontal="general" vertical="bottom"/>
    </xf>
    <xf numFmtId="0" fontId="14" fillId="3" borderId="0" applyAlignment="1" pivotButton="0" quotePrefix="0" xfId="0">
      <alignment horizontal="general" vertical="bottom"/>
    </xf>
    <xf numFmtId="0" fontId="6" fillId="0" borderId="0" applyAlignment="1" pivotButton="0" quotePrefix="0" xfId="0">
      <alignment horizontal="general" vertical="center" wrapText="1"/>
    </xf>
    <xf numFmtId="0" fontId="0" fillId="0" borderId="4" pivotButton="0" quotePrefix="0" xfId="0"/>
    <xf numFmtId="0" fontId="0" fillId="0" borderId="5" pivotButton="0" quotePrefix="0" xfId="0"/>
    <xf numFmtId="167" fontId="10" fillId="3" borderId="1" applyAlignment="1" pivotButton="0" quotePrefix="0" xfId="0">
      <alignment horizontal="general" vertical="bottom"/>
    </xf>
    <xf numFmtId="165" fontId="10" fillId="3" borderId="1" applyAlignment="1" pivotButton="0" quotePrefix="0" xfId="0">
      <alignment horizontal="general" vertical="bottom"/>
    </xf>
    <xf numFmtId="165" fontId="11" fillId="3" borderId="1" applyAlignment="1" pivotButton="0" quotePrefix="0" xfId="0">
      <alignment horizontal="general" vertical="bottom"/>
    </xf>
    <xf numFmtId="0" fontId="15" fillId="0" borderId="0" applyAlignment="1" pivotButton="0" quotePrefix="0" xfId="0">
      <alignment horizontal="general" vertical="bottom"/>
    </xf>
    <xf numFmtId="164" fontId="15" fillId="0" borderId="0" applyAlignment="1" pivotButton="0" quotePrefix="0" xfId="0">
      <alignment horizontal="general" vertical="bottom"/>
    </xf>
    <xf numFmtId="170" fontId="15" fillId="0" borderId="0" applyAlignment="1" pivotButton="0" quotePrefix="0" xfId="0">
      <alignment horizontal="general" vertical="bottom"/>
    </xf>
    <xf numFmtId="167" fontId="15" fillId="0" borderId="0" applyAlignment="1" pivotButton="0" quotePrefix="0" xfId="0">
      <alignment horizontal="general" vertical="bottom"/>
    </xf>
    <xf numFmtId="0" fontId="12" fillId="0" borderId="0" applyAlignment="1" pivotButton="0" quotePrefix="0" xfId="0">
      <alignment horizontal="general" vertical="bottom"/>
    </xf>
    <xf numFmtId="170" fontId="0" fillId="2" borderId="1" applyAlignment="1" applyProtection="1" pivotButton="0" quotePrefix="0" xfId="0">
      <alignment horizontal="general" vertical="center"/>
      <protection locked="0" hidden="0"/>
    </xf>
    <xf numFmtId="168" fontId="6" fillId="3" borderId="1" applyAlignment="1" pivotButton="0" quotePrefix="0" xfId="0">
      <alignment horizontal="general" vertical="bottom"/>
    </xf>
    <xf numFmtId="169" fontId="0" fillId="3" borderId="1" applyAlignment="1" pivotButton="0" quotePrefix="0" xfId="0">
      <alignment horizontal="general" vertical="bottom"/>
    </xf>
    <xf numFmtId="0" fontId="13" fillId="0" borderId="0" applyAlignment="1" pivotButton="0" quotePrefix="0" xfId="0">
      <alignment horizontal="general" vertical="top" wrapText="1"/>
    </xf>
    <xf numFmtId="0" fontId="0" fillId="0" borderId="0" applyProtection="1" pivotButton="0" quotePrefix="0" xfId="0">
      <protection locked="0" hidden="0"/>
    </xf>
    <xf numFmtId="0" fontId="0" fillId="2" borderId="0" applyAlignment="1" applyProtection="1" pivotButton="0" quotePrefix="0" xfId="0">
      <alignment horizontal="general" vertical="bottom"/>
      <protection locked="0" hidden="0"/>
    </xf>
    <xf numFmtId="0" fontId="10" fillId="0" borderId="0" applyAlignment="1" pivotButton="0" quotePrefix="0" xfId="0">
      <alignment horizontal="general" vertical="top" wrapText="1"/>
    </xf>
    <xf numFmtId="2" fontId="10" fillId="0" borderId="0" applyAlignment="1" pivotButton="0" quotePrefix="0" xfId="0">
      <alignment horizontal="general" vertical="bottom"/>
    </xf>
    <xf numFmtId="3" fontId="1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b val="1"/>
        <color rgb="FFC00000"/>
      </font>
      <fill>
        <patternFill>
          <bgColor rgb="FFF8CBAD"/>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1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11" min="1" max="1"/>
  </cols>
  <sheetData>
    <row r="1" ht="17.25" customHeight="1" s="112">
      <c r="A1" s="113" t="inlineStr">
        <is>
          <t>CS9 · Kinh tế sản phẩm AI: chi phí, định giá, hiệu quả đầu tư — File thực hành</t>
        </is>
      </c>
    </row>
    <row r="2" ht="46.5" customHeight="1" s="112">
      <c r="A2" s="114" t="inlineStr">
        <is>
          <t>AI in Action · Track 1 · Khóa 4. FILE LÀM BÀI CỦA NHÓM. Nhóm chưa có dự án chung: chọn 1 trong 3 đề bài giả định (file CS9_DeBai_GiaDinh.pdf). Ví dụ cách điền: bản mẫu "trợ lý AI trả lời tin nhắn Zalo cho cửa hàng nhỏ" ở cột Gợi ý (trang 1, 3, 6), bảng cách nhập ở trang 2, và trong file CS9_HuongDan_HocVien.pdf.</t>
        </is>
      </c>
    </row>
    <row r="3" ht="31.5" customHeight="1" s="112">
      <c r="A3" s="115" t="inlineStr">
        <is>
          <t>Ô tự kiểm tra: "Đạt" là ổn. "Xem lại", "Chưa đủ sốc" là câu hỏi để nhóm soát: sửa nếu nhập sai; nếu số đúng thì giữ nguyên và giải thích ở trang 7. Không chỉnh giả định chỉ để được "Đạt".</t>
        </is>
      </c>
    </row>
    <row r="4" ht="31.5" customHeight="1" s="112">
      <c r="A4" s="115" t="inlineStr">
        <is>
          <t>Luật chơi: CHỈ điền vào ô màu VÀNG (một số ô vàng có sẵn số mặc định, sửa được). Ô màu XANH LÁ NHẠT là công thức, đã khóa. Cột "Gợi ý" chữ xám (trang 1, 3, 6) chỉ cách lấy số và giá trị của bản mẫu, không cần điền.</t>
        </is>
      </c>
    </row>
    <row r="5" ht="46.5" customHeight="1" s="112">
      <c r="A5" s="115" t="inlineStr">
        <is>
          <t>Thứ tự và thời gian: Nhiệm vụ 0 · trang 0 (5 phút) → Phần A · trang A: Bài 1 (10 phút), rồi Bài 2, Bài 3 và câu 1–3 (14 phút) → Nhiệm vụ 1 · trang 1 (15 phút) → Nhiệm vụ 2 · trang 2 (15 phút) → Nhiệm vụ 3 · trang 3, 4, 5 (26 phút) → Nhiệm vụ 4 · trang 6 (chỉ khi sản phẩm phục vụ chính công ty) và trang 7 (23 phút), rồi nộp file. Hết giờ mà chưa xong: để nguyên, sang việc kế tiếp, cuối giờ quay lại.</t>
        </is>
      </c>
    </row>
    <row r="6" ht="46.5" customHeight="1" s="112">
      <c r="A6" s="115" t="inlineStr">
        <is>
          <t>Mỗi con số phải có NGUỒN hoặc LÝ DO ở cột "Nguồn / lý do". Gắn nhãn như Ngày 23: [NGÀNH] số chuẩn ngành, có đường dẫn · [TỰ TÍNH] tính từ mô hình · [TỰ ĐO] nhóm tự đo. Số chưa có nguồn, chưa đo: ghi "Giả định: … vì … · sẽ đo bằng …". Không gắn [NGÀNH] khi không chỉ ra được nguồn. Không nguồn, không lý do = bị trừ điểm.</t>
        </is>
      </c>
    </row>
    <row r="7" ht="31.5" customHeight="1" s="112">
      <c r="A7" s="115" t="inlineStr">
        <is>
          <t>Giá token: tra bảng giá chính thức của nhà cung cấp vào ngày làm bài, ghi tên mô hình và ngày tra. Tỷ giá: ghi nguồn và ngày. Trang 9 có sẵn một số số liệu đã kiểm chứng.</t>
        </is>
      </c>
    </row>
    <row r="8" ht="16.5" customHeight="1" s="112">
      <c r="A8" s="115" t="inlineStr">
        <is>
          <t>Kịch bản xấu phải là cú sốc thật: tỷ lệ rời bỏ và chi phí có một khách tối thiểu gấp 1,5 lần kịch bản cơ sở (trang 3 tự kiểm tra).</t>
        </is>
      </c>
    </row>
    <row r="9" ht="46.5" customHeight="1" s="112">
      <c r="A9" s="115" t="inlineStr">
        <is>
          <t>Ngưỡng tham khảo (không phải luật): giá mỗi việc ≥ 3 × chi phí mỗi việc · biên lợi nhuận gộp bình quân ≥ 60% · LTV ÷ CAC &gt; 3 · hoàn vốn chi phí có khách &lt; 12 tháng · kịch bản xấu còn tiền ≥ 12 tháng hoặc có kế hoạch cắt giảm. Mốc 50% ở trang 2 là cách đọc của Ngày 23 cho biên SAU KHI CHIA cho đối tác. Khi ra quyết định, ưu tiên mức tự tính ở trang 5, dòng 72–77.</t>
        </is>
      </c>
    </row>
    <row r="10" ht="16.5" customHeight="1" s="112">
      <c r="A10" s="115" t="inlineStr">
        <is>
          <t>Tên file nộp: [Nhom]_CS9.xlsx · Nộp lên VLearn khi hết Nhiệm vụ 4.</t>
        </is>
      </c>
    </row>
    <row r="11" ht="31.5" customHeight="1" s="112">
      <c r="A11" s="115" t="inlineStr">
        <is>
          <t>Nối hai buổi trước: mang phiếu bài tập 1 và bài về nhà một trang của Ngày 22 (định giá, kênh bán), và bảng theo dõi chỉ số của Ngày 23. Trang 0 chỉ chỗ dùng từng thứ.</t>
        </is>
      </c>
    </row>
    <row r="12" ht="31.5" customHeight="1" s="112">
      <c r="A12" s="115" t="inlineStr">
        <is>
          <t>Nguồn tham khảo khung bài: AI in Action khóa 3 — Ngày 24 Mô hình tài chính (slide và sổ tay), Ngày 25 Định giá và đưa sản phẩm ra thị trường (Đàm Bá Quyền). File này được dựng lại cho khóa 4.</t>
        </is>
      </c>
    </row>
    <row r="13" ht="31.5" customHeight="1" s="112">
      <c r="A13" s="115" t="inlineStr">
        <is>
          <t>Cách gõ số: ô có đơn vị % thì gõ kèm dấu % (ví dụ 10%). Số tiền gõ liền, không dấu ngăn cách (ví dụ 150000000). Số thập phân theo máy: máy đặt tiếng Việt gõ 0,4; máy đặt tiếng Anh gõ 0.4. Điền rồi mà ô kết quả vẫn bằng 0: kiểm tra lại dấu thập phân.</t>
        </is>
      </c>
    </row>
    <row r="14" ht="16.5" customHeight="1" s="112">
      <c r="A14" s="115" t="inlineStr">
        <is>
          <t>Đơn vị tiền: trang A tính bằng TRIỆU đồng; từ trang 1 trở đi tính bằng ĐỒNG, riêng bảng độ nhạy ở trang 5 (dòng 56–68) ghi bằng triệu đồng.</t>
        </is>
      </c>
    </row>
    <row r="15" ht="15" customHeight="1" s="112">
      <c r="A15" s="116" t="inlineStr">
        <is>
          <t>Chú thích màu:</t>
        </is>
      </c>
    </row>
    <row r="16" ht="15" customHeight="1" s="112">
      <c r="A16" s="117" t="inlineStr">
        <is>
          <t>Ô điền giả định (không khóa)</t>
        </is>
      </c>
    </row>
    <row r="17" ht="15" customHeight="1" s="112">
      <c r="A17" s="118" t="inlineStr">
        <is>
          <t>Ô công thức (tự tính, đã khóa)</t>
        </is>
      </c>
    </row>
    <row r="18" ht="15" customHeight="1" s="112">
      <c r="A18" s="119" t="inlineStr">
        <is>
          <t>Chữ xám nghiêng ở cột Gợi ý: cách lấy số và giá trị bản mẫu (không cần điền)</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11" min="1" max="1"/>
    <col width="14" customWidth="1" style="111" min="2" max="2"/>
    <col width="46" customWidth="1" style="111" min="3" max="4"/>
    <col width="36" customWidth="1" style="111" min="5" max="5"/>
  </cols>
  <sheetData>
    <row r="1" ht="17.25" customHeight="1" s="112">
      <c r="A1" s="113" t="inlineStr">
        <is>
          <t>0 · Nhiệm vụ 0: gom đầu vào — có thì tận dụng, chưa có thì làm mới (5 phút)</t>
        </is>
      </c>
    </row>
    <row r="2" ht="15" customHeight="1" s="112">
      <c r="A2" s="120" t="inlineStr">
        <is>
          <t>Đánh dấu nhóm đã có hay chưa. Cả hai lối đi đều đủ điểm. Dùng số thật từ buổi trước được cộng tối đa 10 điểm.</t>
        </is>
      </c>
    </row>
    <row r="4" ht="26.25" customHeight="1" s="112">
      <c r="A4" s="121" t="inlineStr">
        <is>
          <t>Có thể đã có từ buổi trước</t>
        </is>
      </c>
      <c r="B4" s="121" t="inlineStr">
        <is>
          <t>Nhóm đã có chưa?</t>
        </is>
      </c>
      <c r="C4" s="121" t="inlineStr">
        <is>
          <t>Nếu ĐÃ CÓ: dùng ở đâu</t>
        </is>
      </c>
      <c r="D4" s="121" t="inlineStr">
        <is>
          <t>Nếu CHƯA CÓ: làm gì</t>
        </is>
      </c>
      <c r="E4" s="121" t="inlineStr">
        <is>
          <t>Ghi chú (tên file, đường dẫn)</t>
        </is>
      </c>
    </row>
    <row r="5" ht="33.75" customHeight="1" s="112">
      <c r="A5" s="122" t="inlineStr">
        <is>
          <t>Mô hình hiệu quả đầu tư 3–6–12 tháng và tài liệu yêu cầu sản phẩm (Phase 1, Ngày 6)</t>
        </is>
      </c>
      <c r="B5" s="123" t="inlineStr">
        <is>
          <t>Có</t>
        </is>
      </c>
      <c r="C5" s="122" t="inlineStr">
        <is>
          <t>Làm phiên bản 2; so sánh con số cũ và mới ở trang 3–5</t>
        </is>
      </c>
      <c r="D5" s="122" t="inlineStr">
        <is>
          <t>Dựng mới trên file này</t>
        </is>
      </c>
      <c r="E5" s="123" t="inlineStr">
        <is>
          <t>Đề bài 1 · SổSạch: CS9_DeBai_GiaDinh.pdf trang 2-3</t>
        </is>
      </c>
    </row>
    <row r="6" ht="33.75" customHeight="1" s="112">
      <c r="A6" s="122" t="inlineStr">
        <is>
          <t>Bảng giám sát agent: token, chi phí theo ngày (Ngày 13)</t>
        </is>
      </c>
      <c r="B6" s="123" t="inlineStr">
        <is>
          <t>Có</t>
        </is>
      </c>
      <c r="C6" s="122" t="inlineStr">
        <is>
          <t>Lấy số lần gọi AI và token thật ở trang 1</t>
        </is>
      </c>
      <c r="D6" s="122" t="inlineStr">
        <is>
          <t>Chạy thử 5 câu hỏi, xem số token ở trang quản lý API (cách làm: trang 1, cột Gợi ý)</t>
        </is>
      </c>
      <c r="E6" s="123" t="inlineStr">
        <is>
          <t>Đề bài 1 · SổSạch: Bảng giá Claude Haiku 4.5 trang 9</t>
        </is>
      </c>
    </row>
    <row r="7" ht="33.75" customHeight="1" s="112">
      <c r="A7" s="122" t="inlineStr">
        <is>
          <t>Báo cáo đánh giá chất lượng (Ngày 14 hoặc buổi đánh giá Track 1)</t>
        </is>
      </c>
      <c r="B7" s="123" t="inlineStr">
        <is>
          <t>Có</t>
        </is>
      </c>
      <c r="C7" s="122" t="inlineStr">
        <is>
          <t>Tỷ lệ chưa đạt → tỷ lệ cần người kiểm tra ở trang 1</t>
        </is>
      </c>
      <c r="D7" s="122" t="inlineStr">
        <is>
          <t>Giả định 10–20%, ghi lý do</t>
        </is>
      </c>
      <c r="E7" s="123" t="inlineStr">
        <is>
          <t>Đề bài 1 · SổSạch: Gói kết hợp phí cố định + vượt hạn mức</t>
        </is>
      </c>
    </row>
    <row r="8" ht="33.75" customHeight="1" s="112">
      <c r="A8" s="122" t="inlineStr">
        <is>
          <t>Phiếu bài tập 1 và bài về nhà một trang (Ngày 22)</t>
        </is>
      </c>
      <c r="B8" s="123" t="inlineStr">
        <is>
          <t>Có</t>
        </is>
      </c>
      <c r="C8" s="122" t="inlineStr">
        <is>
          <t>Cách tính tiền, chi phí mỗi việc, giá đề xuất: chép vào trang 1–2 rồi soát lại</t>
        </is>
      </c>
      <c r="D8" s="122" t="inlineStr">
        <is>
          <t>Làm nhanh ở Nhiệm vụ 1–2 theo bản mẫu (cột Gợi ý ở trang 1–2)</t>
        </is>
      </c>
      <c r="E8" s="123" t="inlineStr">
        <is>
          <t>Đề bài 1 · SổSạch: Giả định cơ sở trang 3</t>
        </is>
      </c>
    </row>
    <row r="9" ht="33.75" customHeight="1" s="112">
      <c r="A9" s="122" t="inlineStr">
        <is>
          <t>Bảng theo dõi chỉ số và luật xử lý (Ngày 23)</t>
        </is>
      </c>
      <c r="B9" s="123" t="inlineStr">
        <is>
          <t>Có</t>
        </is>
      </c>
      <c r="C9" s="122" t="inlineStr">
        <is>
          <t>Điền mức cảnh báo tự tính (trang 5, dòng 72–77) vào cột [TỰ TÍNH]</t>
        </is>
      </c>
      <c r="D9" s="122" t="inlineStr">
        <is>
          <t>Dùng bảng mức cảnh báo ở trang 5 làm khung</t>
        </is>
      </c>
      <c r="E9" s="123" t="inlineStr">
        <is>
          <t>Đề bài 1 · SổSạch: Chi phí đội 6 người và văn phòng</t>
        </is>
      </c>
    </row>
    <row r="10" ht="61.5" customHeight="1" s="112">
      <c r="A10" s="122" t="inlineStr">
        <is>
          <t>Sản phẩm của nhóm từ các buổi trước</t>
        </is>
      </c>
      <c r="B10" s="123" t="inlineStr">
        <is>
          <t>Có</t>
        </is>
      </c>
      <c r="C10" s="122" t="inlineStr">
        <is>
          <t>Dùng xuyên suốt</t>
        </is>
      </c>
      <c r="D10" s="122" t="inlineStr">
        <is>
          <t>Nhóm ngồi chung bàn nhưng khác dự án: chọn 1 trong 3 đề bài giả định trong file CS9_DeBai_GiaDinh.pdf (đề cho sẵn số liệu trang 1–3; ghi tên đề ở cột Ghi chú)</t>
        </is>
      </c>
      <c r="E10" s="123" t="inlineStr">
        <is>
          <t>Đề bài 1 · SổSạch (Trợ lý đọc hoá đơn đầu vào)</t>
        </is>
      </c>
    </row>
    <row r="12" ht="15" customHeight="1" s="112">
      <c r="A12" s="116" t="inlineStr">
        <is>
          <t>Số đầu vào nhóm đã có</t>
        </is>
      </c>
      <c r="B12" s="118">
        <f>COUNTIF(B5:B10,"Có")</f>
        <v/>
      </c>
    </row>
    <row r="13" ht="15" customHeight="1" s="112">
      <c r="A13" s="120" t="inlineStr">
        <is>
          <t>Điểm thưởng gợi ý (tối đa 10): 2 điểm cho mỗi đầu vào đã có và thật sự được dùng trong bài</t>
        </is>
      </c>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B5:B10" showDropDown="0" showInputMessage="0" showErrorMessage="0" allowBlank="1" type="list" errorStyle="stop" operator="between">
      <formula1>"Có,Chưa"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89"/>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11" min="1" max="1"/>
    <col width="60" customWidth="1" style="111" min="2" max="2"/>
    <col width="14" customWidth="1" style="111" min="3" max="5"/>
    <col width="30" customWidth="1" style="111" min="6" max="6"/>
    <col width="34" customWidth="1" style="111" min="7" max="7"/>
  </cols>
  <sheetData>
    <row r="1" ht="17.25" customHeight="1" s="112">
      <c r="A1" s="113" t="inlineStr">
        <is>
          <t>A · Bài tập tài chính doanh nghiệp căn bản: lập ba báo cáo tài chính</t>
        </is>
      </c>
    </row>
    <row r="2" ht="15" customHeight="1" s="112">
      <c r="A2" s="120" t="inlineStr">
        <is>
          <t>Công ty Trợ Lý Xanh bán trợ lý AI trả lời tin nhắn. Dưới đây là mọi giao dịch của 3 tháng đầu. Lập báo cáo kết quả kinh doanh, bảng cân đối kế toán và báo cáo lưu chuyển tiền tệ.</t>
        </is>
      </c>
    </row>
    <row r="3" ht="31.5" customHeight="1" s="112">
      <c r="A3" s="124" t="inlineStr">
        <is>
          <t>Đơn vị: triệu đồng. Điền ô VÀNG, kể cả các dòng lợi nhuận và dòng tổng (gõ số hoặc công thức như =SUM). Ô tự kiểm tra (cột G) chỉ báo cộng trừ đúng và ba báo cáo khớp nhau; "Đạt" chưa chắc đã ghi đúng kỳ. Dòng 33 kiểm tra riêng việc ghi theo kỳ.</t>
        </is>
      </c>
    </row>
    <row r="5" ht="15" customHeight="1" s="112">
      <c r="A5" s="116" t="inlineStr">
        <is>
          <t>ĐỀ BÀI · Giao dịch 3 tháng đầu</t>
        </is>
      </c>
    </row>
    <row r="6" ht="31.5" customHeight="1" s="112">
      <c r="A6" s="125" t="inlineStr">
        <is>
          <t>STT</t>
        </is>
      </c>
      <c r="B6" s="125" t="inlineStr">
        <is>
          <t>Giao dịch</t>
        </is>
      </c>
      <c r="C6" s="125" t="inlineStr">
        <is>
          <t>Tháng 1</t>
        </is>
      </c>
      <c r="D6" s="125" t="inlineStr">
        <is>
          <t>Tháng 2</t>
        </is>
      </c>
      <c r="E6" s="125" t="inlineStr">
        <is>
          <t>Tháng 3</t>
        </is>
      </c>
      <c r="F6" s="125" t="inlineStr">
        <is>
          <t>Ghi chú</t>
        </is>
      </c>
      <c r="G6" s="125" t="inlineStr">
        <is>
          <t>Bài 1 · Vào báo cáo kết quả? (Có / Không · vì sao)</t>
        </is>
      </c>
    </row>
    <row r="7" ht="30" customHeight="1" s="112">
      <c r="A7" s="126" t="n">
        <v>1</v>
      </c>
      <c r="B7" s="127" t="inlineStr">
        <is>
          <t>Chủ sở hữu góp vốn bằng tiền</t>
        </is>
      </c>
      <c r="C7" s="128" t="n">
        <v>1000</v>
      </c>
      <c r="D7" s="128" t="n"/>
      <c r="E7" s="128" t="n"/>
      <c r="F7" s="129" t="n"/>
      <c r="G7" s="130" t="inlineStr">
        <is>
          <t>Không · Vốn góp là giao dịch tài chính, không phải doanh thu</t>
        </is>
      </c>
    </row>
    <row r="8" ht="30" customHeight="1" s="112">
      <c r="A8" s="126" t="n">
        <v>2</v>
      </c>
      <c r="B8" s="127" t="inlineStr">
        <is>
          <t>Vay ngân hàng, gốc trả sau 3 năm</t>
        </is>
      </c>
      <c r="C8" s="128" t="n">
        <v>300</v>
      </c>
      <c r="D8" s="128" t="n"/>
      <c r="E8" s="128" t="n"/>
      <c r="F8" s="129" t="inlineStr">
        <is>
          <t>Lãi 12%/năm, trả cuối mỗi tháng</t>
        </is>
      </c>
      <c r="G8" s="130" t="inlineStr">
        <is>
          <t>Có · Chỉ lãi vay 12%/năm (3 tr/tháng) vào chi phí tài chính</t>
        </is>
      </c>
    </row>
    <row r="9" ht="30" customHeight="1" s="112">
      <c r="A9" s="126" t="n">
        <v>3</v>
      </c>
      <c r="B9" s="127" t="inlineStr">
        <is>
          <t>Mua máy chủ, trả tiền ngay</t>
        </is>
      </c>
      <c r="C9" s="128" t="n">
        <v>360</v>
      </c>
      <c r="D9" s="128" t="n"/>
      <c r="E9" s="128" t="n"/>
      <c r="F9" s="129" t="inlineStr">
        <is>
          <t>Dùng 36 tháng, khấu hao đều</t>
        </is>
      </c>
      <c r="G9" s="130" t="inlineStr">
        <is>
          <t>Có · Chỉ khấu hao 36 tháng (10 tr/tháng) vào chi phí, không ghi cả 360 tr</t>
        </is>
      </c>
    </row>
    <row r="10" ht="30" customHeight="1" s="112">
      <c r="A10" s="126" t="n">
        <v>4</v>
      </c>
      <c r="B10" s="127" t="inlineStr">
        <is>
          <t>Bán gói tháng cho cửa hàng nhỏ, thu tiền ngay</t>
        </is>
      </c>
      <c r="C10" s="128" t="n">
        <v>50</v>
      </c>
      <c r="D10" s="128" t="n">
        <v>80</v>
      </c>
      <c r="E10" s="128" t="n">
        <v>110</v>
      </c>
      <c r="F10" s="129" t="n"/>
      <c r="G10" s="130" t="inlineStr">
        <is>
          <t>Có · Bán gói tháng thu tiền ngay ghi nhận doanh thu trong tháng</t>
        </is>
      </c>
    </row>
    <row r="11" ht="30" customHeight="1" s="112">
      <c r="A11" s="126" t="n">
        <v>5</v>
      </c>
      <c r="B11" s="127" t="inlineStr">
        <is>
          <t>Ngân hàng X trả trước gói 12 tháng</t>
        </is>
      </c>
      <c r="C11" s="128" t="n">
        <v>240</v>
      </c>
      <c r="D11" s="128" t="n"/>
      <c r="E11" s="128" t="n"/>
      <c r="F11" s="129" t="inlineStr">
        <is>
          <t>Dịch vụ chạy đều từ tháng 1</t>
        </is>
      </c>
      <c r="G11" s="130" t="inlineStr">
        <is>
          <t>Có · Chỉ ghi nhận doanh thu 20 tr/tháng (240 tr chia 12 tháng)</t>
        </is>
      </c>
    </row>
    <row r="12" ht="30" customHeight="1" s="112">
      <c r="A12" s="126" t="n">
        <v>6</v>
      </c>
      <c r="B12" s="127" t="inlineStr">
        <is>
          <t>Dự án triển khai cho công ty Y được nghiệm thu</t>
        </is>
      </c>
      <c r="C12" s="128" t="n"/>
      <c r="D12" s="128" t="n">
        <v>90</v>
      </c>
      <c r="E12" s="128" t="n"/>
      <c r="F12" s="129" t="inlineStr">
        <is>
          <t>Y trả tiền sau 60 ngày (tháng 4)</t>
        </is>
      </c>
      <c r="G12" s="130" t="inlineStr">
        <is>
          <t>Có · Nghiệm thu T2 ghi nhận 90 tr doanh thu T2 (dù T4 mới thu tiền)</t>
        </is>
      </c>
    </row>
    <row r="13" ht="30" customHeight="1" s="112">
      <c r="A13" s="126" t="n">
        <v>7</v>
      </c>
      <c r="B13" s="127" t="inlineStr">
        <is>
          <t>Chi phí gọi AI phát sinh trong tháng</t>
        </is>
      </c>
      <c r="C13" s="128" t="n">
        <v>15</v>
      </c>
      <c r="D13" s="128" t="n">
        <v>25</v>
      </c>
      <c r="E13" s="128" t="n">
        <v>35</v>
      </c>
      <c r="F13" s="129" t="inlineStr">
        <is>
          <t>Nhà cung cấp cho trả vào tháng sau</t>
        </is>
      </c>
      <c r="G13" s="130" t="inlineStr">
        <is>
          <t>Có · Chi phí gọi AI ghi theo tháng phát sinh (dù tháng sau mới trả)</t>
        </is>
      </c>
    </row>
    <row r="14" ht="30" customHeight="1" s="112">
      <c r="A14" s="126" t="n">
        <v>8</v>
      </c>
      <c r="B14" s="127" t="inlineStr">
        <is>
          <t>Người kiểm tra câu trả lời, trả trong tháng</t>
        </is>
      </c>
      <c r="C14" s="128" t="n">
        <v>10</v>
      </c>
      <c r="D14" s="128" t="n">
        <v>10</v>
      </c>
      <c r="E14" s="128" t="n">
        <v>10</v>
      </c>
      <c r="F14" s="129" t="n"/>
      <c r="G14" s="130" t="inlineStr">
        <is>
          <t>Có · Chi phí người kiểm tra ghi theo tháng phát sinh</t>
        </is>
      </c>
    </row>
    <row r="15" ht="30" customHeight="1" s="112">
      <c r="A15" s="126" t="n">
        <v>9</v>
      </c>
      <c r="B15" s="127" t="inlineStr">
        <is>
          <t>Lương đội phát triển và bán hàng, trả trong tháng</t>
        </is>
      </c>
      <c r="C15" s="128" t="n">
        <v>120</v>
      </c>
      <c r="D15" s="128" t="n">
        <v>120</v>
      </c>
      <c r="E15" s="128" t="n">
        <v>120</v>
      </c>
      <c r="F15" s="129" t="n"/>
      <c r="G15" s="130" t="inlineStr">
        <is>
          <t>Có · Lương đội phát triển ghi vào chi phí hoạt động trong tháng</t>
        </is>
      </c>
    </row>
    <row r="16" ht="30" customHeight="1" s="112">
      <c r="A16" s="126" t="n">
        <v>10</v>
      </c>
      <c r="B16" s="127" t="inlineStr">
        <is>
          <t>Thuê văn phòng, trả trong tháng</t>
        </is>
      </c>
      <c r="C16" s="128" t="n">
        <v>20</v>
      </c>
      <c r="D16" s="128" t="n">
        <v>20</v>
      </c>
      <c r="E16" s="128" t="n">
        <v>20</v>
      </c>
      <c r="F16" s="129" t="n"/>
      <c r="G16" s="130" t="inlineStr">
        <is>
          <t>Có · Chi phí thuê văn phòng ghi vào chi phí hoạt động trong tháng</t>
        </is>
      </c>
    </row>
    <row r="17" ht="30" customHeight="1" s="112">
      <c r="A17" s="126" t="n">
        <v>11</v>
      </c>
      <c r="B17" s="127" t="inlineStr">
        <is>
          <t>Thuế thu nhập doanh nghiệp</t>
        </is>
      </c>
      <c r="C17" s="128" t="n">
        <v>0</v>
      </c>
      <c r="D17" s="128" t="n">
        <v>0</v>
      </c>
      <c r="E17" s="128" t="n">
        <v>0</v>
      </c>
      <c r="F17" s="129" t="inlineStr">
        <is>
          <t>Lỗ lũy kế nên chưa phát sinh thuế</t>
        </is>
      </c>
      <c r="G17" s="130" t="inlineStr">
        <is>
          <t>Không · Lỗ luỹ kế nên chưa phát sinh thuế TNDN (0 tr)</t>
        </is>
      </c>
    </row>
    <row r="19" ht="16.5" customHeight="1" s="112">
      <c r="A19" s="131" t="inlineStr">
        <is>
          <t>BÀI 1 · BÁO CÁO KẾT QUẢ KINH DOANH (10 phút). Ghi theo tháng phát sinh, không theo ngày tiền vào ra. Chi phí ghi số dương; dòng lợi nhuận = kết quả cộng trừ.</t>
        </is>
      </c>
    </row>
    <row r="20" ht="15" customHeight="1" s="112">
      <c r="B20" s="125" t="inlineStr">
        <is>
          <t>Khoản mục</t>
        </is>
      </c>
      <c r="C20" s="125" t="inlineStr">
        <is>
          <t>Tháng 1</t>
        </is>
      </c>
      <c r="D20" s="125" t="inlineStr">
        <is>
          <t>Tháng 2</t>
        </is>
      </c>
      <c r="E20" s="125" t="inlineStr">
        <is>
          <t>Tháng 3</t>
        </is>
      </c>
      <c r="F20" s="125" t="inlineStr">
        <is>
          <t>Cộng 3 tháng</t>
        </is>
      </c>
      <c r="G20" s="125" t="inlineStr">
        <is>
          <t>Tự kiểm tra</t>
        </is>
      </c>
    </row>
    <row r="21" ht="15" customHeight="1" s="112">
      <c r="B21" s="132" t="inlineStr">
        <is>
          <t>Doanh thu</t>
        </is>
      </c>
      <c r="C21" s="133" t="n">
        <v>70</v>
      </c>
      <c r="D21" s="133" t="n">
        <v>190</v>
      </c>
      <c r="E21" s="133" t="n">
        <v>130</v>
      </c>
      <c r="F21" s="134">
        <f>IF(COUNT(C21:E21)=0,"",SUM(C21:E21))</f>
        <v/>
      </c>
    </row>
    <row r="22" ht="15" customHeight="1" s="112">
      <c r="B22" s="132" t="inlineStr">
        <is>
          <t>Giá vốn (gọi AI + người kiểm tra)</t>
        </is>
      </c>
      <c r="C22" s="133" t="n">
        <v>25</v>
      </c>
      <c r="D22" s="133" t="n">
        <v>35</v>
      </c>
      <c r="E22" s="133" t="n">
        <v>45</v>
      </c>
      <c r="F22" s="134">
        <f>IF(COUNT(C22:E22)=0,"",SUM(C22:E22))</f>
        <v/>
      </c>
    </row>
    <row r="23" ht="15" customHeight="1" s="112">
      <c r="B23" s="135" t="inlineStr">
        <is>
          <t>Lợi nhuận gộp</t>
        </is>
      </c>
      <c r="C23" s="133" t="n">
        <v>45</v>
      </c>
      <c r="D23" s="133" t="n">
        <v>155</v>
      </c>
      <c r="E23" s="133" t="n">
        <v>85</v>
      </c>
      <c r="F23" s="136">
        <f>IF(COUNT(C23:E23)=0,"",SUM(C23:E23))</f>
        <v/>
      </c>
      <c r="G23" s="137">
        <f>IF(COUNT(C21:E21,C22:E22,C23:E23)&lt;9,"Chưa điền",IF(AND(ABS(C23-(C21-C22))&lt;0.01,ABS(D23-(D21-D22))&lt;0.01,ABS(E23-(E21-E22))&lt;0.01),"Đạt","Xem lại phép trừ"))</f>
        <v/>
      </c>
    </row>
    <row r="24" ht="15" customHeight="1" s="112">
      <c r="B24" s="132" t="inlineStr">
        <is>
          <t>Chi phí hoạt động (lương + văn phòng)</t>
        </is>
      </c>
      <c r="C24" s="133" t="n">
        <v>140</v>
      </c>
      <c r="D24" s="133" t="n">
        <v>140</v>
      </c>
      <c r="E24" s="133" t="n">
        <v>140</v>
      </c>
      <c r="F24" s="134">
        <f>IF(COUNT(C24:E24)=0,"",SUM(C24:E24))</f>
        <v/>
      </c>
    </row>
    <row r="25" ht="15" customHeight="1" s="112">
      <c r="B25" s="135" t="inlineStr">
        <is>
          <t>Lợi nhuận trước lãi vay, thuế và khấu hao (EBITDA)</t>
        </is>
      </c>
      <c r="C25" s="133" t="n">
        <v>-95</v>
      </c>
      <c r="D25" s="133" t="n">
        <v>15</v>
      </c>
      <c r="E25" s="133" t="n">
        <v>-55</v>
      </c>
      <c r="F25" s="136">
        <f>IF(COUNT(C25:E25)=0,"",SUM(C25:E25))</f>
        <v/>
      </c>
      <c r="G25" s="137">
        <f>IF(COUNT(C23:E23,C24:E24,C25:E25)&lt;9,"Chưa điền",IF(AND(ABS(C25-(C23-C24))&lt;0.01,ABS(D25-(D23-D24))&lt;0.01,ABS(E25-(E23-E24))&lt;0.01),"Đạt","Xem lại phép trừ"))</f>
        <v/>
      </c>
    </row>
    <row r="26" ht="15" customHeight="1" s="112">
      <c r="B26" s="132" t="inlineStr">
        <is>
          <t>Khấu hao</t>
        </is>
      </c>
      <c r="C26" s="133" t="n">
        <v>10</v>
      </c>
      <c r="D26" s="133" t="n">
        <v>10</v>
      </c>
      <c r="E26" s="133" t="n">
        <v>10</v>
      </c>
      <c r="F26" s="134">
        <f>IF(COUNT(C26:E26)=0,"",SUM(C26:E26))</f>
        <v/>
      </c>
    </row>
    <row r="27" ht="15" customHeight="1" s="112">
      <c r="B27" s="135" t="inlineStr">
        <is>
          <t>Lợi nhuận hoạt động</t>
        </is>
      </c>
      <c r="C27" s="133" t="n">
        <v>-105</v>
      </c>
      <c r="D27" s="133" t="n">
        <v>5</v>
      </c>
      <c r="E27" s="133" t="n">
        <v>-65</v>
      </c>
      <c r="F27" s="136">
        <f>IF(COUNT(C27:E27)=0,"",SUM(C27:E27))</f>
        <v/>
      </c>
      <c r="G27" s="137">
        <f>IF(COUNT(C25:E25,C26:E26,C27:E27)&lt;9,"Chưa điền",IF(AND(ABS(C27-(C25-C26))&lt;0.01,ABS(D27-(D25-D26))&lt;0.01,ABS(E27-(E25-E26))&lt;0.01),"Đạt","Xem lại phép trừ"))</f>
        <v/>
      </c>
    </row>
    <row r="28" ht="15" customHeight="1" s="112">
      <c r="B28" s="132" t="inlineStr">
        <is>
          <t>Lãi vay</t>
        </is>
      </c>
      <c r="C28" s="133" t="n">
        <v>3</v>
      </c>
      <c r="D28" s="133" t="n">
        <v>3</v>
      </c>
      <c r="E28" s="133" t="n">
        <v>3</v>
      </c>
      <c r="F28" s="134">
        <f>IF(COUNT(C28:E28)=0,"",SUM(C28:E28))</f>
        <v/>
      </c>
    </row>
    <row r="29" ht="15" customHeight="1" s="112">
      <c r="B29" s="135" t="inlineStr">
        <is>
          <t>Lợi nhuận trước thuế</t>
        </is>
      </c>
      <c r="C29" s="133" t="n">
        <v>-108</v>
      </c>
      <c r="D29" s="133" t="n">
        <v>2</v>
      </c>
      <c r="E29" s="133" t="n">
        <v>-68</v>
      </c>
      <c r="F29" s="136">
        <f>IF(COUNT(C29:E29)=0,"",SUM(C29:E29))</f>
        <v/>
      </c>
      <c r="G29" s="137">
        <f>IF(COUNT(C27:E27,C28:E28,C29:E29)&lt;9,"Chưa điền",IF(AND(ABS(C29-(C27-C28))&lt;0.01,ABS(D29-(D27-D28))&lt;0.01,ABS(E29-(E27-E28))&lt;0.01),"Đạt","Xem lại phép trừ"))</f>
        <v/>
      </c>
    </row>
    <row r="30" ht="15" customHeight="1" s="112">
      <c r="B30" s="132" t="inlineStr">
        <is>
          <t>Thuế thu nhập doanh nghiệp</t>
        </is>
      </c>
      <c r="C30" s="133" t="n">
        <v>0</v>
      </c>
      <c r="D30" s="133" t="n">
        <v>0</v>
      </c>
      <c r="E30" s="133" t="n">
        <v>0</v>
      </c>
      <c r="F30" s="134">
        <f>IF(COUNT(C30:E30)=0,"",SUM(C30:E30))</f>
        <v/>
      </c>
    </row>
    <row r="31" ht="15" customHeight="1" s="112">
      <c r="B31" s="135" t="inlineStr">
        <is>
          <t>Lợi nhuận sau thuế</t>
        </is>
      </c>
      <c r="C31" s="133" t="n">
        <v>-108</v>
      </c>
      <c r="D31" s="133" t="n">
        <v>2</v>
      </c>
      <c r="E31" s="133" t="n">
        <v>-68</v>
      </c>
      <c r="F31" s="136">
        <f>IF(COUNT(C31:E31)=0,"",SUM(C31:E31))</f>
        <v/>
      </c>
      <c r="G31" s="137">
        <f>IF(COUNT(C29:E29,C30:E30,C31:E31)&lt;9,"Chưa điền",IF(AND(ABS(C31-(C29-C30))&lt;0.01,ABS(D31-(D29-D30))&lt;0.01,ABS(E31-(E29-E30))&lt;0.01),"Đạt","Xem lại phép trừ"))</f>
        <v/>
      </c>
    </row>
    <row r="32" ht="15" customHeight="1" s="112">
      <c r="B32" s="132" t="inlineStr">
        <is>
          <t>Biên lợi nhuận gộp</t>
        </is>
      </c>
      <c r="C32" s="138">
        <f>IFERROR(C23/C21,"")</f>
        <v/>
      </c>
      <c r="D32" s="138">
        <f>IFERROR(D23/D21,"")</f>
        <v/>
      </c>
      <c r="E32" s="138">
        <f>IFERROR(E23/E21,"")</f>
        <v/>
      </c>
      <c r="F32" s="138">
        <f>IFERROR(F23/F21,"")</f>
        <v/>
      </c>
    </row>
    <row r="33" ht="45" customHeight="1" s="112">
      <c r="B33" s="139" t="inlineStr">
        <is>
          <t>KIỂM TRA ghi theo kỳ: tổng lợi nhuận sau thuế 3 tháng (ô F31) có bằng −174 (số ở câu 3) không?</t>
        </is>
      </c>
      <c r="G33" s="140">
        <f>IF(COUNT(C31:E31)&lt;3,"Chưa điền",IF(ABS(F31+174)&lt;0.01,"Đạt: đã ghi theo kỳ","Chưa đúng: có giao dịch đang ghi theo ngày tiền vào ra (xem cột G, dòng 7–17)"))</f>
        <v/>
      </c>
    </row>
    <row r="34" ht="16.5" customHeight="1" s="112">
      <c r="A34" s="131" t="inlineStr">
        <is>
          <t>BÀI 2 · BẢNG CÂN ĐỐI KẾ TOÁN cuối tháng 3 (Bài 2 và 3: 14 phút). Hao mòn lũy kế ghi số âm; lợi nhuận giữ lại đang lỗ thì ghi số âm.</t>
        </is>
      </c>
    </row>
    <row r="35" ht="15" customHeight="1" s="112">
      <c r="B35" s="125" t="inlineStr">
        <is>
          <t>Khoản mục</t>
        </is>
      </c>
      <c r="C35" s="125" t="inlineStr">
        <is>
          <t>Số tiền</t>
        </is>
      </c>
      <c r="G35" s="125" t="inlineStr">
        <is>
          <t>Tự kiểm tra</t>
        </is>
      </c>
    </row>
    <row r="36" ht="15" customHeight="1" s="112">
      <c r="B36" s="116" t="inlineStr">
        <is>
          <t>TÀI SẢN</t>
        </is>
      </c>
    </row>
    <row r="37" ht="15" customHeight="1" s="112">
      <c r="B37" s="132" t="inlineStr">
        <is>
          <t>Tiền</t>
        </is>
      </c>
      <c r="C37" s="133" t="n">
        <v>921</v>
      </c>
    </row>
    <row r="38" ht="15" customHeight="1" s="112">
      <c r="B38" s="132" t="inlineStr">
        <is>
          <t>Phải thu khách hàng</t>
        </is>
      </c>
      <c r="C38" s="133" t="n">
        <v>90</v>
      </c>
    </row>
    <row r="39" ht="15" customHeight="1" s="112">
      <c r="B39" s="132" t="inlineStr">
        <is>
          <t>Máy chủ — nguyên giá</t>
        </is>
      </c>
      <c r="C39" s="133" t="n">
        <v>360</v>
      </c>
    </row>
    <row r="40" ht="15" customHeight="1" s="112">
      <c r="B40" s="132" t="inlineStr">
        <is>
          <t>Hao mòn lũy kế</t>
        </is>
      </c>
      <c r="C40" s="133" t="n">
        <v>-30</v>
      </c>
    </row>
    <row r="41" ht="15" customHeight="1" s="112">
      <c r="B41" s="135" t="inlineStr">
        <is>
          <t>Tổng tài sản</t>
        </is>
      </c>
      <c r="C41" s="133" t="n">
        <v>1341</v>
      </c>
      <c r="G41" s="137">
        <f>IF(COUNT(C37:C41)&lt;5,"Chưa điền",IF(ABS(C41-SUM(C37:C40))&lt;0.01,"Đạt","Xem lại phép cộng"))</f>
        <v/>
      </c>
    </row>
    <row r="42" ht="15" customHeight="1" s="112">
      <c r="B42" s="116" t="inlineStr">
        <is>
          <t>NỢ PHẢI TRẢ</t>
        </is>
      </c>
    </row>
    <row r="43" ht="15" customHeight="1" s="112">
      <c r="B43" s="132" t="inlineStr">
        <is>
          <t>Phải trả nhà cung cấp</t>
        </is>
      </c>
      <c r="C43" s="133" t="n">
        <v>35</v>
      </c>
    </row>
    <row r="44" ht="15" customHeight="1" s="112">
      <c r="B44" s="132" t="inlineStr">
        <is>
          <t>Doanh thu chưa thực hiện</t>
        </is>
      </c>
      <c r="C44" s="133" t="n">
        <v>180</v>
      </c>
    </row>
    <row r="45" ht="15" customHeight="1" s="112">
      <c r="B45" s="132" t="inlineStr">
        <is>
          <t>Vay ngân hàng</t>
        </is>
      </c>
      <c r="C45" s="133" t="n">
        <v>300</v>
      </c>
    </row>
    <row r="46" ht="15" customHeight="1" s="112">
      <c r="B46" s="135" t="inlineStr">
        <is>
          <t>Tổng nợ phải trả</t>
        </is>
      </c>
      <c r="C46" s="133" t="n">
        <v>515</v>
      </c>
      <c r="G46" s="137">
        <f>IF(COUNT(C43:C46)&lt;4,"Chưa điền",IF(ABS(C46-SUM(C43:C45))&lt;0.01,"Đạt","Xem lại phép cộng"))</f>
        <v/>
      </c>
    </row>
    <row r="47" ht="15" customHeight="1" s="112">
      <c r="B47" s="116" t="inlineStr">
        <is>
          <t>VỐN CHỦ SỞ HỮU</t>
        </is>
      </c>
    </row>
    <row r="48" ht="15" customHeight="1" s="112">
      <c r="B48" s="132" t="inlineStr">
        <is>
          <t>Vốn góp</t>
        </is>
      </c>
      <c r="C48" s="133" t="n">
        <v>1000</v>
      </c>
    </row>
    <row r="49" ht="15" customHeight="1" s="112">
      <c r="B49" s="132" t="inlineStr">
        <is>
          <t>Lợi nhuận giữ lại</t>
        </is>
      </c>
      <c r="C49" s="133" t="n">
        <v>-174</v>
      </c>
    </row>
    <row r="50" ht="15" customHeight="1" s="112">
      <c r="B50" s="135" t="inlineStr">
        <is>
          <t>Tổng vốn chủ sở hữu</t>
        </is>
      </c>
      <c r="C50" s="133" t="n">
        <v>826</v>
      </c>
      <c r="G50" s="137">
        <f>IF(COUNT(C48:C50)&lt;3,"Chưa điền",IF(ABS(C50-SUM(C48:C49))&lt;0.01,"Đạt","Xem lại phép cộng"))</f>
        <v/>
      </c>
    </row>
    <row r="51" ht="15" customHeight="1" s="112">
      <c r="B51" s="132" t="inlineStr">
        <is>
          <t>Tổng nợ phải trả + vốn chủ sở hữu</t>
        </is>
      </c>
      <c r="C51" s="133" t="n">
        <v>1341</v>
      </c>
      <c r="G51" s="137">
        <f>IF(COUNT(C46,C50,C51)&lt;3,"Chưa điền",IF(ABS(C51-(C46+C50))&lt;0.01,"Đạt","Xem lại phép cộng"))</f>
        <v/>
      </c>
    </row>
    <row r="52" ht="15" customHeight="1" s="112">
      <c r="B52" s="135" t="inlineStr">
        <is>
          <t>KIỂM TRA: Tài sản = Nợ phải trả + Vốn chủ sở hữu?</t>
        </is>
      </c>
      <c r="G52" s="141">
        <f>IF(COUNT(C41,C51)&lt;2,"Chưa điền",IF(ABS(C41-C51)&lt;0.01,"Đạt: bảng đã cân","Chưa cân: tìm khoản ghi sai"))</f>
        <v/>
      </c>
    </row>
    <row r="53" ht="15" customHeight="1" s="112">
      <c r="B53" s="135" t="inlineStr">
        <is>
          <t>KIỂM TRA: Lợi nhuận giữ lại = tổng lợi nhuận sau thuế 3 tháng (bài 1)?</t>
        </is>
      </c>
      <c r="G53" s="141">
        <f>IF(COUNT(C49,F31)&lt;2,"Chưa điền",IF(ABS(C49-F31)&lt;0.01,"Đạt","Chưa khớp bài 1"))</f>
        <v/>
      </c>
    </row>
    <row r="55" ht="16.5" customHeight="1" s="112">
      <c r="A55" s="131" t="inlineStr">
        <is>
          <t>BÀI 3 · BÁO CÁO LƯU CHUYỂN TIỀN TỆ 3 tháng, phương pháp gián tiếp. Tiền vào ghi số dương, tiền ra ghi số âm; dòng 58–61 theo đúng chữ "Cộng" / "Trừ" ở đầu dòng.</t>
        </is>
      </c>
    </row>
    <row r="56" ht="15" customHeight="1" s="112">
      <c r="B56" s="125" t="inlineStr">
        <is>
          <t>Khoản mục</t>
        </is>
      </c>
      <c r="C56" s="125" t="inlineStr">
        <is>
          <t>Số tiền</t>
        </is>
      </c>
      <c r="G56" s="125" t="inlineStr">
        <is>
          <t>Tự kiểm tra</t>
        </is>
      </c>
    </row>
    <row r="57" ht="15" customHeight="1" s="112">
      <c r="B57" s="132" t="inlineStr">
        <is>
          <t>Lợi nhuận sau thuế</t>
        </is>
      </c>
      <c r="C57" s="133" t="n">
        <v>-174</v>
      </c>
    </row>
    <row r="58" ht="16.5" customHeight="1" s="112">
      <c r="B58" s="142" t="inlineStr">
        <is>
          <t>Cộng: khấu hao (không phải tiền chi ra) → số dương</t>
        </is>
      </c>
      <c r="C58" s="133" t="n">
        <v>30</v>
      </c>
    </row>
    <row r="59" ht="31.5" customHeight="1" s="112">
      <c r="B59" s="142" t="inlineStr">
        <is>
          <t>Trừ: phải thu khách hàng tăng thêm (đã ghi doanh thu, chưa thu tiền) → số âm</t>
        </is>
      </c>
      <c r="C59" s="133" t="n">
        <v>-90</v>
      </c>
    </row>
    <row r="60" ht="31.5" customHeight="1" s="112">
      <c r="B60" s="142" t="inlineStr">
        <is>
          <t>Cộng: phải trả nhà cung cấp tăng thêm (đã ghi chi phí, chưa trả tiền) → số dương</t>
        </is>
      </c>
      <c r="C60" s="133" t="n">
        <v>35</v>
      </c>
    </row>
    <row r="61" ht="16.5" customHeight="1" s="112">
      <c r="B61" s="142" t="inlineStr">
        <is>
          <t>Cộng: doanh thu chưa thực hiện tăng thêm (khách trả trước) → số dương</t>
        </is>
      </c>
      <c r="C61" s="133" t="n">
        <v>180</v>
      </c>
    </row>
    <row r="62" ht="15" customHeight="1" s="112">
      <c r="B62" s="135" t="inlineStr">
        <is>
          <t>Dòng tiền từ hoạt động kinh doanh</t>
        </is>
      </c>
      <c r="C62" s="133" t="n">
        <v>-19</v>
      </c>
      <c r="G62" s="137">
        <f>IF(COUNT(C57:C62)&lt;6,"Chưa điền",IF(ABS(C62-SUM(C57:C61))&lt;0.01,"Đạt","Xem lại phép cộng"))</f>
        <v/>
      </c>
    </row>
    <row r="63" ht="15" customHeight="1" s="112">
      <c r="B63" s="132" t="inlineStr">
        <is>
          <t>Mua máy chủ (tiền ra → số âm)</t>
        </is>
      </c>
      <c r="C63" s="133" t="n">
        <v>-360</v>
      </c>
    </row>
    <row r="64" ht="15" customHeight="1" s="112">
      <c r="B64" s="135" t="inlineStr">
        <is>
          <t>Dòng tiền từ hoạt động đầu tư</t>
        </is>
      </c>
      <c r="C64" s="133" t="n">
        <v>-360</v>
      </c>
      <c r="G64" s="137">
        <f>IF(COUNT(C63:C64)&lt;2,"Chưa điền",IF(ABS(C64-SUM(C63:C63))&lt;0.01,"Đạt","Xem lại phép cộng"))</f>
        <v/>
      </c>
    </row>
    <row r="65" ht="15" customHeight="1" s="112">
      <c r="B65" s="132" t="inlineStr">
        <is>
          <t>Góp vốn (tiền vào → số dương)</t>
        </is>
      </c>
      <c r="C65" s="133" t="n">
        <v>1000</v>
      </c>
    </row>
    <row r="66" ht="15" customHeight="1" s="112">
      <c r="B66" s="132" t="inlineStr">
        <is>
          <t>Vay ngân hàng (tiền vào → số dương)</t>
        </is>
      </c>
      <c r="C66" s="133" t="n">
        <v>300</v>
      </c>
    </row>
    <row r="67" ht="15" customHeight="1" s="112">
      <c r="B67" s="135" t="inlineStr">
        <is>
          <t>Dòng tiền từ hoạt động tài chính</t>
        </is>
      </c>
      <c r="C67" s="133" t="n">
        <v>1300</v>
      </c>
      <c r="G67" s="137">
        <f>IF(COUNT(C65:C67)&lt;3,"Chưa điền",IF(ABS(C67-SUM(C65:C66))&lt;0.01,"Đạt","Xem lại phép cộng"))</f>
        <v/>
      </c>
    </row>
    <row r="68" ht="15" customHeight="1" s="112">
      <c r="B68" s="135" t="inlineStr">
        <is>
          <t>Tiền tăng thêm trong kỳ</t>
        </is>
      </c>
      <c r="C68" s="133" t="n">
        <v>921</v>
      </c>
      <c r="G68" s="137">
        <f>IF(COUNT(C62,C64,C67,C68)&lt;4,"Chưa điền",IF(ABS(C68-(C62+C64+C67))&lt;0.01,"Đạt","Xem lại phép cộng"))</f>
        <v/>
      </c>
    </row>
    <row r="69" ht="15" customHeight="1" s="112">
      <c r="B69" s="132" t="inlineStr">
        <is>
          <t>Tiền đầu kỳ</t>
        </is>
      </c>
      <c r="C69" s="143" t="n">
        <v>0</v>
      </c>
    </row>
    <row r="70" ht="15" customHeight="1" s="112">
      <c r="B70" s="135" t="inlineStr">
        <is>
          <t>Tiền cuối kỳ</t>
        </is>
      </c>
      <c r="C70" s="133" t="n">
        <v>921</v>
      </c>
      <c r="G70" s="137">
        <f>IF(COUNT(C68:C70)&lt;3,"Chưa điền",IF(ABS(C70-(C68+C69))&lt;0.01,"Đạt","Xem lại phép cộng"))</f>
        <v/>
      </c>
    </row>
    <row r="71" ht="31.5" customHeight="1" s="112">
      <c r="B71" s="135" t="inlineStr">
        <is>
          <t>KIỂM TRA: Tiền cuối kỳ = dòng Tiền trên bảng cân đối?</t>
        </is>
      </c>
      <c r="G71" s="140">
        <f>IF(COUNT(C70,C37)&lt;2,"Chưa điền",IF(ABS(C70-C37)&lt;0.01,"Đạt: ba báo cáo đã khớp","Chưa khớp: soát dấu +/− ở dòng 58–66, rồi soát dòng Tiền ở bảng cân đối"))</f>
        <v/>
      </c>
    </row>
    <row r="72" ht="15" customHeight="1" s="112">
      <c r="B72" s="135" t="inlineStr">
        <is>
          <t>KIỂM TRA: Lợi nhuận sau thuế = bài 1?</t>
        </is>
      </c>
      <c r="G72" s="141">
        <f>IF(COUNT(C57,F31)&lt;2,"Chưa điền",IF(ABS(C57-F31)&lt;0.01,"Đạt","Chưa khớp bài 1"))</f>
        <v/>
      </c>
    </row>
    <row r="74" ht="15" customHeight="1" s="112">
      <c r="A74" s="116" t="inlineStr">
        <is>
          <t>CÂU HỎI 1–4 (làm sau Bài 2 và 3; câu 4 làm khi xong sớm). Mỗi câu 1–2 câu văn.</t>
        </is>
      </c>
    </row>
    <row r="75" ht="48" customHeight="1" s="112">
      <c r="B75" s="142" t="inlineStr">
        <is>
          <t>1. Tháng nào có lãi? Trong tháng đó tiền mặt tăng hay giảm, bao nhiêu, vì sao? (Gợi ý: chỉ cộng tiền thật vào và ra trong tháng đó: tiền gọi AI tháng 1 trả trong tháng 2; 90 triệu dự án Y chưa thu.)</t>
        </is>
      </c>
      <c r="C75" s="144" t="inlineStr">
        <is>
          <t>Tháng 2 có lãi (2 triệu đồng). Trong tháng đó tiền mặt giảm 88 triệu đồng vì thu tiền mặt chỉ có 80 triệu (bán lẻ), trong khi chi trả tiền mặt tới 168 triệu (gồm 15 triệu tiền AI tháng 1 trả chậm, 10 triệu người kiểm tra, 120 triệu lương, 20 triệu văn phòng, 3 triệu lãi vay). Doanh thu 90 triệu dự án Y chưa thu tiền.</t>
        </is>
      </c>
      <c r="D75" s="145" t="n"/>
      <c r="E75" s="145" t="n"/>
      <c r="F75" s="145" t="n"/>
      <c r="G75" s="146" t="n"/>
    </row>
    <row r="76" ht="48" customHeight="1" s="112">
      <c r="B76" s="142" t="inlineStr">
        <is>
          <t>2. 240 triệu ngân hàng X trả trước nằm ở đâu trên bảng cân đối cuối tháng 3, bao nhiêu? Vì sao không ghi hết vào doanh thu?</t>
        </is>
      </c>
      <c r="C76" s="144" t="inlineStr">
        <is>
          <t>Nằm ở mục Doanh thu chưa thực hiện thuộc Nợ phải trả, giá trị 180 triệu đồng. Không ghi hết vào doanh thu vì dịch vụ chạy đều 12 tháng, hết tháng 3 mới cung cấp dịch vụ 3 tháng (ghi 60 triệu), 9 tháng còn lại là nghĩa vụ nợ phải phục vụ khách hàng.</t>
        </is>
      </c>
      <c r="D76" s="145" t="n"/>
      <c r="E76" s="145" t="n"/>
      <c r="F76" s="145" t="n"/>
      <c r="G76" s="146" t="n"/>
    </row>
    <row r="77" ht="48" customHeight="1" s="112">
      <c r="B77" s="142" t="inlineStr">
        <is>
          <t>3. Lỗ 174 triệu mà dòng tiền kinh doanh chỉ âm 19 triệu. Khoản nào bù vào? Có nên vui không?</t>
        </is>
      </c>
      <c r="C77" s="144" t="inlineStr">
        <is>
          <t>Khoản tiền khách trả trước chưa thực hiện (+180 triệu), khấu hao không chi tiền (+30 triệu) và nợ tiền AI tháng 3 (+35 triệu) đã bù đắp. Không nên vui vì 180 triệu là tiền nhận trước cho nghĩa vụ 9 tháng tới, không phải tiền lãi từ kinh doanh.</t>
        </is>
      </c>
      <c r="D77" s="145" t="n"/>
      <c r="E77" s="145" t="n"/>
      <c r="F77" s="145" t="n"/>
      <c r="G77" s="146" t="n"/>
    </row>
    <row r="78" ht="48" customHeight="1" s="112">
      <c r="B78" s="142" t="inlineStr">
        <is>
          <t>4. (Xong sớm) Nếu từ tháng 4 mọi thứ giữ như tháng 3, công ty còn trụ được khoảng bao nhiêu tháng?</t>
        </is>
      </c>
      <c r="C78" s="144" t="inlineStr">
        <is>
          <t>Nếu giữ như tháng 3 (dòng tiền kinh doanh âm khoảng 68 triệu/tháng sau khi trừ các khoản phát sinh), với lượng tiền mặt 921 triệu cộng 90 triệu thu từ Y ở tháng 4, công ty có thể trụ thêm khoảng 14-15 tháng.</t>
        </is>
      </c>
      <c r="D78" s="145" t="n"/>
      <c r="E78" s="145" t="n"/>
      <c r="F78" s="145" t="n"/>
      <c r="G78" s="146" t="n"/>
    </row>
    <row r="80" ht="15" customHeight="1" s="112">
      <c r="A80" s="116" t="inlineStr">
        <is>
          <t>BÀI 5 · (Xong sớm) MUA MÁY CHỦ HAY THUÊ ĐÁM MÂY — so bằng giá trị hiện tại</t>
        </is>
      </c>
    </row>
    <row r="81" ht="31.5" customHeight="1" s="112">
      <c r="B81" s="124" t="inlineStr">
        <is>
          <t>Mua: trả 360 triệu ngay, dùng 36 tháng. Thuê đám mây cùng cấu hình: 12 triệu/tháng, trả cuối mỗi tháng, trong 36 tháng. Bỏ qua chi phí vận hành và giá trị còn lại của máy.</t>
        </is>
      </c>
    </row>
    <row r="82" ht="15" customHeight="1" s="112">
      <c r="B82" s="132" t="inlineStr">
        <is>
          <t>Giá mua máy chủ (triệu đồng)</t>
        </is>
      </c>
      <c r="C82" s="143" t="n">
        <v>360</v>
      </c>
    </row>
    <row r="83" ht="15" customHeight="1" s="112">
      <c r="B83" s="132" t="inlineStr">
        <is>
          <t>Tiền thuê mỗi tháng (triệu đồng)</t>
        </is>
      </c>
      <c r="C83" s="143" t="n">
        <v>12</v>
      </c>
    </row>
    <row r="84" ht="15" customHeight="1" s="112">
      <c r="B84" s="132" t="inlineStr">
        <is>
          <t>Số tháng</t>
        </is>
      </c>
      <c r="C84" s="143" t="n">
        <v>36</v>
      </c>
    </row>
    <row r="85" ht="15" customHeight="1" s="112">
      <c r="B85" s="132" t="inlineStr">
        <is>
          <t>Chi phí vốn / năm</t>
        </is>
      </c>
      <c r="C85" s="147" t="n">
        <v>0.15</v>
      </c>
    </row>
    <row r="86" ht="46.5" customHeight="1" s="112">
      <c r="B86" s="142" t="inlineStr">
        <is>
          <t>Giá trị hiện tại của 36 tháng tiền thuê. Gợi ý: =PV(C85/12; C84; -C83). Dấu trừ trước C83 để kết quả là số dương; máy đặt tiếng Anh dùng dấu phẩy thay dấu chấm phẩy.</t>
        </is>
      </c>
      <c r="C86" s="148" t="n">
        <v>346.16</v>
      </c>
      <c r="G86" s="137">
        <f>IF(C86="","Chưa điền",IF(ABS(C86-PV(C85/12,C84,-C83))&lt;1,"Đạt","Xem lại"))</f>
        <v/>
      </c>
    </row>
    <row r="87" ht="15" customHeight="1" s="112">
      <c r="B87" s="132" t="inlineStr">
        <is>
          <t>Nên mua hay thuê? (chọn Mua hoặc Thuê trong danh sách)</t>
        </is>
      </c>
      <c r="C87" s="149" t="inlineStr">
        <is>
          <t>Thuê</t>
        </is>
      </c>
      <c r="G87" s="137">
        <f>IF(C87="","Chưa điền",IF(C87=IF(PV(C85/12,C84,-C83)&lt;C82,"Thuê","Mua"),"Đạt","Xem lại"))</f>
        <v/>
      </c>
    </row>
    <row r="88" ht="31.5" customHeight="1" s="112">
      <c r="B88" s="142" t="inlineStr">
        <is>
          <t>Nếu chi phí vốn chỉ 8%/năm: giá trị hiện tại của tiền thuê (gợi ý: =PV(0,08/12; C84; -C83))</t>
        </is>
      </c>
      <c r="C88" s="148" t="n">
        <v>389.26</v>
      </c>
      <c r="G88" s="137">
        <f>IF(C88="","Chưa điền",IF(ABS(C88-PV(0.08/12,C84,-C83))&lt;1,"Đạt","Xem lại"))</f>
        <v/>
      </c>
    </row>
    <row r="89" ht="15" customHeight="1" s="112">
      <c r="B89" s="132" t="inlineStr">
        <is>
          <t>Khi đó nên mua hay thuê?</t>
        </is>
      </c>
      <c r="C89" s="149" t="inlineStr">
        <is>
          <t>Mua</t>
        </is>
      </c>
      <c r="G89" s="137">
        <f>IF(C89="","Chưa điền",IF(C89=IF(PV(0.08/12,C84,-C83)&lt;C82,"Thuê","Mua"),"Đạt","Xem lại"))</f>
        <v/>
      </c>
    </row>
  </sheetData>
  <sheetProtection selectLockedCells="0" selectUnlockedCells="0" sheet="1" objects="0" insertRows="1" insertHyperlinks="1" autoFilter="1" scenarios="0" formatColumns="0" deleteColumns="1" insertColumns="1" pivotTables="1" deleteRows="1" formatCells="1" formatRows="0" sort="1"/>
  <mergeCells count="9">
    <mergeCell ref="B81:G81"/>
    <mergeCell ref="C77:G77"/>
    <mergeCell ref="A3:G3"/>
    <mergeCell ref="A34:G34"/>
    <mergeCell ref="A55:G55"/>
    <mergeCell ref="C76:G76"/>
    <mergeCell ref="C75:G75"/>
    <mergeCell ref="A19:G19"/>
    <mergeCell ref="C78:G78"/>
  </mergeCells>
  <dataValidations count="1">
    <dataValidation sqref="C87 C89" showDropDown="0" showInputMessage="0" showErrorMessage="0" allowBlank="1" type="list" errorStyle="stop" operator="between">
      <formula1>"Mua,Thuê"</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8" customWidth="1" style="111" min="1" max="1"/>
    <col width="22" customWidth="1" style="111" min="2" max="2"/>
    <col width="18" customWidth="1" style="111" min="3" max="3"/>
    <col width="60" customWidth="1" style="111" min="4" max="4"/>
    <col width="64" customWidth="1" style="111" min="5" max="5"/>
  </cols>
  <sheetData>
    <row r="1" ht="17.25" customHeight="1" s="112">
      <c r="A1" s="113" t="inlineStr">
        <is>
          <t>1 · Chi phí để AI làm xong 1 việc</t>
        </is>
      </c>
    </row>
    <row r="2" ht="15" customHeight="1" s="112">
      <c r="A2" s="120" t="inlineStr">
        <is>
          <t>'Việc' = 1 đơn vị công việc khách nhận được, ví dụ: 1 hội thoại được trả lời, 1 hồ sơ được đọc, 1 cuộc gọi.</t>
        </is>
      </c>
    </row>
    <row r="3" ht="31.5" customHeight="1" s="112">
      <c r="A3" s="150" t="inlineStr">
        <is>
          <t>Chỉ tính chi phí phục vụ từng việc (giá vốn). KHÔNG tính lương đội phát triển (→ chi phí cố định), chi phí thử sai trước khi ra mắt (→ chi phí xây dựng ban đầu) và quảng cáo, bán hàng (→ chi phí có một khách); cả ba ở trang 3, nếu không sẽ bị trừ hai lần.</t>
        </is>
      </c>
    </row>
    <row r="4" ht="15" customHeight="1" s="112">
      <c r="A4" s="125" t="inlineStr">
        <is>
          <t>Hạng mục</t>
        </is>
      </c>
      <c r="B4" s="125" t="inlineStr">
        <is>
          <t>Giá trị</t>
        </is>
      </c>
      <c r="C4" s="125" t="inlineStr">
        <is>
          <t>Đơn vị</t>
        </is>
      </c>
      <c r="D4" s="125" t="inlineStr">
        <is>
          <t>Nguồn / lý do</t>
        </is>
      </c>
      <c r="E4" s="125" t="inlineStr">
        <is>
          <t>Gợi ý cách lấy số · bản mẫu</t>
        </is>
      </c>
    </row>
    <row r="5" ht="30" customHeight="1" s="112">
      <c r="A5" s="151" t="inlineStr">
        <is>
          <t>Mô tả 1 việc (Ngày 22 gọi là job)</t>
        </is>
      </c>
      <c r="B5" s="152" t="inlineStr">
        <is>
          <t>1 hoá đơn đầu vào được đọc, đối chiếu mã số thuế và nhập vào phần mềm kế toán</t>
        </is>
      </c>
      <c r="C5" s="153" t="n"/>
      <c r="D5" s="154" t="inlineStr">
        <is>
          <t>Đề bài 1</t>
        </is>
      </c>
      <c r="E5" s="155" t="inlineStr">
        <is>
          <t>Một câu: AI nhận gì, trả ra gì cho khách. Bản mẫu: trả lời 1 hội thoại Zalo của khách cho cửa hàng nhỏ.</t>
        </is>
      </c>
    </row>
    <row r="6" ht="30" customHeight="1" s="112">
      <c r="A6" s="151" t="inlineStr">
        <is>
          <t>Số lần gọi mô hình / việc</t>
        </is>
      </c>
      <c r="B6" s="156" t="n">
        <v>2</v>
      </c>
      <c r="C6" s="153" t="inlineStr">
        <is>
          <t>lần</t>
        </is>
      </c>
      <c r="D6" s="154" t="inlineStr">
        <is>
          <t>Đề bài 1: Đọc và trích xuất; tự kiểm tra chéo</t>
        </is>
      </c>
      <c r="E6" s="155" t="inlineStr">
        <is>
          <t>Đếm số bước phải gọi mô hình cho 1 việc: hiểu câu hỏi, tra cứu, soạn trả lời, tự kiểm tra. Bản mẫu: 2.</t>
        </is>
      </c>
    </row>
    <row r="7" ht="43.5" customHeight="1" s="112">
      <c r="A7" s="151" t="inlineStr">
        <is>
          <t>Token đầu vào / lần gọi</t>
        </is>
      </c>
      <c r="B7" s="156" t="n">
        <v>2500</v>
      </c>
      <c r="C7" s="153" t="inlineStr">
        <is>
          <t>token</t>
        </is>
      </c>
      <c r="D7" s="154" t="inlineStr">
        <is>
          <t>Đề bài 1: Ảnh hoá đơn và hướng dẫn</t>
        </is>
      </c>
      <c r="E7" s="155" t="inlineStr">
        <is>
          <t>Gồm câu lệnh hệ thống + tài liệu tra cứu + lịch sử hội thoại + câu hỏi. Có bảng giám sát agent thì lấy số thật; chưa có thì chạy thử 5 câu và xem số token ở trang quản lý API. Bản mẫu: 2.000.</t>
        </is>
      </c>
    </row>
    <row r="8" ht="15.75" customHeight="1" s="112">
      <c r="A8" s="151" t="inlineStr">
        <is>
          <t>Token đầu ra / lần gọi</t>
        </is>
      </c>
      <c r="B8" s="156" t="n">
        <v>400</v>
      </c>
      <c r="C8" s="153" t="inlineStr">
        <is>
          <t>token</t>
        </is>
      </c>
      <c r="D8" s="154" t="inlineStr">
        <is>
          <t>Đề bài 1</t>
        </is>
      </c>
      <c r="E8" s="155" t="inlineStr">
        <is>
          <t>Độ dài câu trả lời, đếm bằng cách chạy thử. Bản mẫu: 300 (1–3 câu ngắn).</t>
        </is>
      </c>
    </row>
    <row r="9" ht="43.5" customHeight="1" s="112">
      <c r="A9" s="151" t="inlineStr">
        <is>
          <t>Giá token đầu vào</t>
        </is>
      </c>
      <c r="B9" s="156" t="n">
        <v>1</v>
      </c>
      <c r="C9" s="153" t="inlineStr">
        <is>
          <t>USD / 1 triệu token</t>
        </is>
      </c>
      <c r="D9" s="154" t="inlineStr">
        <is>
          <t>[NGÀNH] Claude Haiku 4.5: trang 9</t>
        </is>
      </c>
      <c r="E9" s="155" t="inlineStr">
        <is>
          <t>Chọn 1 mô hình ở trang 9 hoặc trang giá chính thức. Ghi tên mô hình, ngày tra, đường dẫn ở cột D. Bản mẫu: 0,4 USD (mô hình nhỏ giả định; nhóm thay bằng giá mô hình thật).</t>
        </is>
      </c>
    </row>
    <row r="10" ht="30" customHeight="1" s="112">
      <c r="A10" s="151" t="inlineStr">
        <is>
          <t>Giá token đầu ra</t>
        </is>
      </c>
      <c r="B10" s="156" t="n">
        <v>5</v>
      </c>
      <c r="C10" s="153" t="inlineStr">
        <is>
          <t>USD / 1 triệu token</t>
        </is>
      </c>
      <c r="D10" s="154" t="inlineStr">
        <is>
          <t>[NGÀNH] Claude Haiku 4.5: trang 9</t>
        </is>
      </c>
      <c r="E10" s="155" t="inlineStr">
        <is>
          <t>Như dòng 9. Giá đầu ra thường cao hơn đầu vào nhiều lần. Bản mẫu: 1,6 USD.</t>
        </is>
      </c>
    </row>
    <row r="11" ht="30" customHeight="1" s="112">
      <c r="A11" s="151" t="inlineStr">
        <is>
          <t>Tỷ giá</t>
        </is>
      </c>
      <c r="B11" s="156" t="n">
        <v>26170</v>
      </c>
      <c r="C11" s="153" t="inlineStr">
        <is>
          <t>VND / USD</t>
        </is>
      </c>
      <c r="D11" s="154" t="inlineStr">
        <is>
          <t>[NGÀNH] Tỷ giá VCB: trang 9</t>
        </is>
      </c>
      <c r="E11" s="155" t="inlineStr">
        <is>
          <t>Tỷ giá bán ra Vietcombank ở trang 9 (26.170 đồng, ngày 04/10/2026) hoặc tra mới, ghi ngày. Bản mẫu: 26.000.</t>
        </is>
      </c>
    </row>
    <row r="12" ht="30" customHeight="1" s="112">
      <c r="A12" s="151" t="inlineStr">
        <is>
          <t>Tỷ lệ gọi lại khi lỗi</t>
        </is>
      </c>
      <c r="B12" s="157" t="n">
        <v>0.08</v>
      </c>
      <c r="C12" s="153" t="inlineStr">
        <is>
          <t>%</t>
        </is>
      </c>
      <c r="D12" s="154" t="inlineStr">
        <is>
          <t>Đề bài 1</t>
        </is>
      </c>
      <c r="E12" s="155" t="inlineStr">
        <is>
          <t>Tỷ lệ việc phải gọi lại vì lỗi, hết thời gian chờ, trả lời hỏng. Chưa đo: giả định 5–10%, ghi lý do. Bản mẫu: 10%.</t>
        </is>
      </c>
    </row>
    <row r="13" ht="43.5" customHeight="1" s="112">
      <c r="A13" s="151" t="inlineStr">
        <is>
          <t>Hạ tầng / việc (máy chủ, cơ sở dữ liệu, gửi tin)</t>
        </is>
      </c>
      <c r="B13" s="156" t="n">
        <v>120</v>
      </c>
      <c r="C13" s="153" t="inlineStr">
        <is>
          <t>VND</t>
        </is>
      </c>
      <c r="D13" s="154" t="inlineStr">
        <is>
          <t>Đề bài 1: Lưu ảnh, kết nối PM kế toán</t>
        </is>
      </c>
      <c r="E13" s="155" t="inlineStr">
        <is>
          <t>Hoá đơn hạ tầng tăng theo lượt dùng (máy chủ, cơ sở dữ liệu, gửi tin) mỗi tháng ÷ số việc mỗi tháng. Phần trả cố định hằng tháng để ở trang 3, dòng 11. Bản mẫu: 100 đồng.</t>
        </is>
      </c>
    </row>
    <row r="14" ht="30" customHeight="1" s="112">
      <c r="A14" s="151" t="inlineStr">
        <is>
          <t>Tỷ lệ việc cần người kiểm tra</t>
        </is>
      </c>
      <c r="B14" s="157" t="n">
        <v>0.2</v>
      </c>
      <c r="C14" s="153" t="inlineStr">
        <is>
          <t>%</t>
        </is>
      </c>
      <c r="D14" s="154" t="inlineStr">
        <is>
          <t>Đề bài 1: Hoá đơn mờ, viết tay, trên 20 triệu</t>
        </is>
      </c>
      <c r="E14" s="155" t="inlineStr">
        <is>
          <t>Lấy từ báo cáo đánh giá chất lượng (tỷ lệ trả lời chưa đạt). Chưa có: giả định 10–20%. Bản mẫu: 10%.</t>
        </is>
      </c>
    </row>
    <row r="15" ht="15.75" customHeight="1" s="112">
      <c r="A15" s="151" t="inlineStr">
        <is>
          <t>Số phút người kiểm tra / việc</t>
        </is>
      </c>
      <c r="B15" s="156" t="n">
        <v>1.5</v>
      </c>
      <c r="C15" s="153" t="inlineStr">
        <is>
          <t>phút</t>
        </is>
      </c>
      <c r="D15" s="154" t="inlineStr">
        <is>
          <t>Đề bài 1</t>
        </is>
      </c>
      <c r="E15" s="155" t="inlineStr">
        <is>
          <t>Thời gian 1 người đọc và sửa 1 kết quả. Bản mẫu: 1,5 phút.</t>
        </is>
      </c>
    </row>
    <row r="16" ht="30" customHeight="1" s="112">
      <c r="A16" s="151" t="inlineStr">
        <is>
          <t>Chi phí nhân sự kiểm tra</t>
        </is>
      </c>
      <c r="B16" s="156" t="n">
        <v>50000</v>
      </c>
      <c r="C16" s="153" t="inlineStr">
        <is>
          <t>VND / giờ</t>
        </is>
      </c>
      <c r="D16" s="154" t="inlineStr">
        <is>
          <t>Đề bài 1: Chi phí kế toán viên kiểm tra</t>
        </is>
      </c>
      <c r="E16" s="155" t="inlineStr">
        <is>
          <t>Bằng (lương tháng + bảo hiểm) ÷ số giờ làm mỗi tháng (khoảng 176–208 giờ). Lương tối thiểu ở trang 9 chỉ là mức sàn. Bản mẫu: 60.000 đồng/giờ.</t>
        </is>
      </c>
    </row>
    <row r="17" ht="30" customHeight="1" s="112">
      <c r="A17" s="151" t="inlineStr">
        <is>
          <t>Đánh giá chất lượng, giám sát, gán nhãn lại / việc</t>
        </is>
      </c>
      <c r="B17" s="156" t="n">
        <v>50</v>
      </c>
      <c r="C17" s="153" t="inlineStr">
        <is>
          <t>VND</t>
        </is>
      </c>
      <c r="D17" s="154" t="inlineStr">
        <is>
          <t>Đề bài 1</t>
        </is>
      </c>
      <c r="E17" s="155" t="inlineStr">
        <is>
          <t>Chi phí chạy bộ câu hỏi đánh giá, gán nhãn lại mỗi tháng ÷ số việc mỗi tháng. Bản mẫu: 60 đồng.</t>
        </is>
      </c>
    </row>
    <row r="18" ht="15.75" customHeight="1" s="112">
      <c r="A18" s="151" t="inlineStr">
        <is>
          <t>Chi phí khác / việc (tuân thủ, lưu nhật ký…)</t>
        </is>
      </c>
      <c r="B18" s="156" t="n">
        <v>30</v>
      </c>
      <c r="C18" s="153" t="inlineStr">
        <is>
          <t>VND</t>
        </is>
      </c>
      <c r="D18" s="154" t="inlineStr">
        <is>
          <t>Đề bài 1: Lưu chứng từ</t>
        </is>
      </c>
      <c r="E18" s="155" t="inlineStr">
        <is>
          <t>Lưu nhật ký, bảo mật, tuân thủ. Ghi 0 thì nói vì sao. Bản mẫu: 30 đồng.</t>
        </is>
      </c>
    </row>
    <row r="20" ht="15" customHeight="1" s="112">
      <c r="A20" s="116" t="inlineStr">
        <is>
          <t>KẾT QUẢ</t>
        </is>
      </c>
    </row>
    <row r="21" ht="15" customHeight="1" s="112">
      <c r="A21" s="158" t="inlineStr">
        <is>
          <t>Chi phí gọi AI / việc (đã tính gọi lại)</t>
        </is>
      </c>
      <c r="B21" s="159">
        <f>IFERROR(B6*(B7*B9+B8*B10)/1000000*B11*(1+B12),0)</f>
        <v/>
      </c>
    </row>
    <row r="22" ht="15" customHeight="1" s="112">
      <c r="A22" s="158" t="inlineStr">
        <is>
          <t>Chi phí người kiểm tra / việc</t>
        </is>
      </c>
      <c r="B22" s="159">
        <f>IFERROR(B14*B15/60*B16,0)</f>
        <v/>
      </c>
    </row>
    <row r="23" ht="15" customHeight="1" s="112">
      <c r="A23" s="158" t="inlineStr">
        <is>
          <t>Hạ tầng + đánh giá + khác / việc</t>
        </is>
      </c>
      <c r="B23" s="159">
        <f>B13+B17+B18</f>
        <v/>
      </c>
    </row>
    <row r="24" ht="15.75" customHeight="1" s="112">
      <c r="A24" s="158" t="inlineStr">
        <is>
          <t>TỔNG CHI PHÍ MỖI VIỆC</t>
        </is>
      </c>
      <c r="B24" s="160">
        <f>B21+B22+B23</f>
        <v/>
      </c>
      <c r="E24" s="124" t="inlineStr">
        <is>
          <t>Bản mẫu: khoảng 413 đồng mỗi việc, trong đó gọi AI chỉ khoảng 73 đồng.</t>
        </is>
      </c>
    </row>
    <row r="25" ht="15" customHeight="1" s="112">
      <c r="A25" s="158" t="inlineStr">
        <is>
          <t>Phần chìm so với chi phí gọi AI</t>
        </is>
      </c>
      <c r="B25" s="161">
        <f>IFERROR((B24-B21)/B21,0)</f>
        <v/>
      </c>
      <c r="C25" s="162" t="inlineStr">
        <is>
          <t>Dưới 30%: rà lại xem đã đủ các khoản chưa (kinh nghiệm giảng viên). Không thêm khoản bịa chỉ để đạt mốc.</t>
        </is>
      </c>
    </row>
    <row r="26" ht="15" customHeight="1" s="112">
      <c r="A26" s="158" t="inlineStr">
        <is>
          <t>Giá sàn mỗi việc = 3 × chi phí mỗi việc</t>
        </is>
      </c>
      <c r="B26" s="159">
        <f>3*B24</f>
        <v/>
      </c>
      <c r="C26" s="162" t="inlineStr">
        <is>
          <t>Dùng cho giá từng việc, kể cả giá vượt hạn mức (biên ≈ 67%): chừa đệm cho khách dùng nhiều và giá AI biến động</t>
        </is>
      </c>
    </row>
    <row r="27" ht="15" customHeight="1" s="112">
      <c r="A27" s="158" t="inlineStr">
        <is>
          <t>Giá tối thiểu để biên lợi nhuận gộp đạt 60%</t>
        </is>
      </c>
      <c r="B27" s="159">
        <f>B24/(1-0.6)</f>
        <v/>
      </c>
      <c r="C27" s="162" t="inlineStr">
        <is>
          <t>Giá bình quân mỗi việc của cả tệp khách nên cao hơn số này (để biên bình quân ≥ 60%, trang 4 và 7). Giá từng việc, kể cả phí vượt, dùng dòng 26.</t>
        </is>
      </c>
    </row>
  </sheetData>
  <sheetProtection selectLockedCells="0" selectUnlockedCells="0" sheet="1" objects="0" insertRows="1" insertHyperlinks="1" autoFilter="1" scenarios="0" formatColumns="0" deleteColumns="1" insertColumns="1" pivotTables="1" deleteRows="1" formatCells="1" formatRows="0" sort="1"/>
  <mergeCells count="1">
    <mergeCell ref="A3:E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I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11" min="1" max="1"/>
    <col width="30" customWidth="1" style="111" min="2" max="3"/>
    <col width="22" customWidth="1" style="111" min="4" max="4"/>
    <col width="20" customWidth="1" style="111" min="5" max="5"/>
    <col width="18" customWidth="1" style="111" min="6" max="6"/>
    <col width="22" customWidth="1" style="111" min="7" max="7"/>
    <col width="20" customWidth="1" style="111" min="8" max="8"/>
    <col width="46" customWidth="1" style="111" min="9" max="9"/>
  </cols>
  <sheetData>
    <row r="1" ht="17.25" customHeight="1" s="112">
      <c r="A1" s="113" t="inlineStr">
        <is>
          <t>2 · Định giá: cách tính tiền, gói giá và nhóm khách dùng nhiều</t>
        </is>
      </c>
    </row>
    <row r="2" ht="15" customHeight="1" s="112">
      <c r="A2" s="120" t="inlineStr">
        <is>
          <t>So sánh gói kết hợp (phí cố định + phí vượt hạn mức) với gói không giới hạn để thấy rủi ro từ nhóm khách dùng nhiều.</t>
        </is>
      </c>
    </row>
    <row r="4" ht="15" customHeight="1" s="112">
      <c r="A4" s="125" t="inlineStr">
        <is>
          <t>Mục</t>
        </is>
      </c>
      <c r="B4" s="125" t="inlineStr">
        <is>
          <t>Giá trị</t>
        </is>
      </c>
      <c r="C4" s="125" t="inlineStr">
        <is>
          <t>Ghi chú</t>
        </is>
      </c>
      <c r="D4" s="125" t="inlineStr">
        <is>
          <t>Nguồn / lý do</t>
        </is>
      </c>
    </row>
    <row r="5" ht="48" customHeight="1" s="112">
      <c r="A5" s="122" t="inlineStr">
        <is>
          <t>Khách trả tiền từ ngân sách nào?</t>
        </is>
      </c>
      <c r="B5" s="163" t="inlineStr">
        <is>
          <t>Nhân sự: thay một phần nhân viên nhập liệu</t>
        </is>
      </c>
      <c r="C5" s="115" t="inlineStr">
        <is>
          <t>Phần mềm hay Nhân sự?</t>
        </is>
      </c>
      <c r="D5" s="164" t="inlineStr">
        <is>
          <t>Đề bài 1</t>
        </is>
      </c>
    </row>
    <row r="6" ht="63" customHeight="1" s="112">
      <c r="A6" s="122" t="inlineStr">
        <is>
          <t>Cách tính tiền đã chọn</t>
        </is>
      </c>
      <c r="B6" s="163" t="inlineStr">
        <is>
          <t>Kết hợp</t>
        </is>
      </c>
      <c r="C6" s="115" t="inlineStr">
        <is>
          <t>Bảng giá dưới luôn có dạng phí cố định + phí mỗi việc vượt hạn mức. Cách nhập cho từng cách tính tiền: dòng 35–40.</t>
        </is>
      </c>
      <c r="D6" s="164" t="inlineStr">
        <is>
          <t>Đề bài 1</t>
        </is>
      </c>
    </row>
    <row r="7" ht="48" customHeight="1" s="112">
      <c r="A7" s="122" t="inlineStr">
        <is>
          <t>Lý do chọn (hai câu hỏi: đo được kết quả? AI tự làm trọn?)</t>
        </is>
      </c>
      <c r="B7" s="163" t="inlineStr">
        <is>
          <t>AI làm trọn việc đọc nhập hóa đơn, có hạn mức để tránh rủi ro chi phí AI</t>
        </is>
      </c>
      <c r="D7" s="164" t="inlineStr">
        <is>
          <t>Đề bài 1</t>
        </is>
      </c>
    </row>
    <row r="8" ht="48" customHeight="1" s="112">
      <c r="A8" s="122" t="inlineStr">
        <is>
          <t>Neo giá so với cái gì?</t>
        </is>
      </c>
      <c r="B8" s="163" t="inlineStr">
        <is>
          <t>Lương nhân viên nhập liệu 8 triệu/tháng</t>
        </is>
      </c>
      <c r="C8" s="115" t="inlineStr">
        <is>
          <t>Lương hoặc chi phí thuê ngoài, không so với giá ChatGPT</t>
        </is>
      </c>
      <c r="D8" s="164" t="inlineStr">
        <is>
          <t>Đề bài 1</t>
        </is>
      </c>
    </row>
    <row r="9" ht="15" customHeight="1" s="112">
      <c r="A9" s="158" t="inlineStr">
        <is>
          <t>Phí cố định / khách / tháng</t>
        </is>
      </c>
      <c r="B9" s="165" t="n">
        <v>1990000</v>
      </c>
      <c r="C9" s="111" t="inlineStr">
        <is>
          <t>VND</t>
        </is>
      </c>
      <c r="D9" s="164" t="inlineStr">
        <is>
          <t>Đề bài 1</t>
        </is>
      </c>
    </row>
    <row r="10" ht="15" customHeight="1" s="112">
      <c r="A10" s="158" t="inlineStr">
        <is>
          <t>Số việc đã gồm trong phí cố định</t>
        </is>
      </c>
      <c r="B10" s="165" t="n">
        <v>1000</v>
      </c>
      <c r="C10" s="111" t="inlineStr">
        <is>
          <t>việc / tháng</t>
        </is>
      </c>
      <c r="D10" s="164" t="inlineStr">
        <is>
          <t>Đề bài 1</t>
        </is>
      </c>
    </row>
    <row r="11" ht="15" customHeight="1" s="112">
      <c r="A11" s="158" t="inlineStr">
        <is>
          <t>Giá mỗi việc vượt hạn mức</t>
        </is>
      </c>
      <c r="B11" s="165" t="n">
        <v>2200</v>
      </c>
      <c r="C11" s="111" t="inlineStr">
        <is>
          <t>VND / việc</t>
        </is>
      </c>
      <c r="D11" s="164" t="inlineStr">
        <is>
          <t>Đề bài 1</t>
        </is>
      </c>
    </row>
    <row r="12" ht="31.5" customHeight="1" s="112">
      <c r="A12" s="122" t="inlineStr">
        <is>
          <t>Giá gói không giới hạn (để so sánh; thường = phí cố định dòng 9)</t>
        </is>
      </c>
      <c r="B12" s="165" t="n">
        <v>1990000</v>
      </c>
      <c r="C12" s="111" t="inlineStr">
        <is>
          <t>VND / tháng</t>
        </is>
      </c>
      <c r="D12" s="164" t="inlineStr">
        <is>
          <t>Đề bài 1</t>
        </is>
      </c>
    </row>
    <row r="14" ht="46.5" customHeight="1" s="112">
      <c r="A14" s="125" t="inlineStr">
        <is>
          <t>Nhóm khách</t>
        </is>
      </c>
      <c r="B14" s="166" t="inlineStr">
        <is>
          <t>Tỷ trọng số khách (2 dòng cộng = 100%)</t>
        </is>
      </c>
      <c r="C14" s="166" t="inlineStr">
        <is>
          <t>Số việc / 1 khách / tháng</t>
        </is>
      </c>
      <c r="D14" s="125" t="inlineStr">
        <is>
          <t>Doanh thu / khách (gói kết hợp)</t>
        </is>
      </c>
      <c r="E14" s="166" t="inlineStr">
        <is>
          <t>Chi phí AI / khách (= số việc × chi phí mỗi việc)</t>
        </is>
      </c>
      <c r="F14" s="125" t="inlineStr">
        <is>
          <t>Biên lợi nhuận gộp (kết hợp)</t>
        </is>
      </c>
      <c r="G14" s="125" t="inlineStr">
        <is>
          <t>Doanh thu / khách (không giới hạn)</t>
        </is>
      </c>
      <c r="H14" s="125" t="inlineStr">
        <is>
          <t>Biên lợi nhuận gộp (không giới hạn)</t>
        </is>
      </c>
      <c r="I14" s="125" t="inlineStr">
        <is>
          <t>Nguồn / lý do</t>
        </is>
      </c>
    </row>
    <row r="15" ht="15" customHeight="1" s="112">
      <c r="A15" s="158" t="inlineStr">
        <is>
          <t>Khách thường</t>
        </is>
      </c>
      <c r="B15" s="167" t="n">
        <v>0.7</v>
      </c>
      <c r="C15" s="168" t="n">
        <v>800</v>
      </c>
      <c r="D15" s="159">
        <f>B9+MAX(0,C15-B10)*B11</f>
        <v/>
      </c>
      <c r="E15" s="159">
        <f>C15*'1_Chi phí mỗi việc'!B24</f>
        <v/>
      </c>
      <c r="F15" s="161">
        <f>IFERROR((D15-E15)/D15,0)</f>
        <v/>
      </c>
      <c r="G15" s="159">
        <f>B12</f>
        <v/>
      </c>
      <c r="H15" s="161">
        <f>IFERROR((G15-E15)/G15,0)</f>
        <v/>
      </c>
      <c r="I15" s="164" t="inlineStr">
        <is>
          <t>Đề bài 1: Văn phòng nhỏ</t>
        </is>
      </c>
    </row>
    <row r="16" ht="15" customHeight="1" s="112">
      <c r="A16" s="158" t="inlineStr">
        <is>
          <t>Khách dùng nhiều</t>
        </is>
      </c>
      <c r="B16" s="167" t="n">
        <v>0.3</v>
      </c>
      <c r="C16" s="168" t="n">
        <v>4000</v>
      </c>
      <c r="D16" s="159">
        <f>B9+MAX(0,C16-B10)*B11</f>
        <v/>
      </c>
      <c r="E16" s="159">
        <f>C16*'1_Chi phí mỗi việc'!B24</f>
        <v/>
      </c>
      <c r="F16" s="161">
        <f>IFERROR((D16-E16)/D16,0)</f>
        <v/>
      </c>
      <c r="G16" s="159">
        <f>B12</f>
        <v/>
      </c>
      <c r="H16" s="161">
        <f>IFERROR((G16-E16)/G16,0)</f>
        <v/>
      </c>
      <c r="I16" s="164" t="inlineStr">
        <is>
          <t>Đề bài 1: Văn phòng lớn</t>
        </is>
      </c>
    </row>
    <row r="17" ht="15" customHeight="1" s="112">
      <c r="A17" s="116" t="inlineStr">
        <is>
          <t>BÌNH QUÂN (theo tỷ trọng)</t>
        </is>
      </c>
      <c r="B17" s="161">
        <f>B15+B16</f>
        <v/>
      </c>
      <c r="C17" s="169">
        <f>SUMPRODUCT(B15:B16,C15:C16)</f>
        <v/>
      </c>
      <c r="D17" s="160">
        <f>SUMPRODUCT($B15:$B16,D15:D16)</f>
        <v/>
      </c>
      <c r="E17" s="160">
        <f>SUMPRODUCT($B15:$B16,E15:E16)</f>
        <v/>
      </c>
      <c r="F17" s="170">
        <f>IFERROR((D17-E17)/D17,0)</f>
        <v/>
      </c>
      <c r="G17" s="160">
        <f>SUMPRODUCT($B15:$B16,G15:G16)</f>
        <v/>
      </c>
      <c r="H17" s="170">
        <f>IFERROR((G17-E17)/G17,0)</f>
        <v/>
      </c>
    </row>
    <row r="18" ht="15" customHeight="1" s="112">
      <c r="A18" s="111" t="inlineStr">
        <is>
          <t>Kiểm tra: tổng tỷ trọng phải = 100%</t>
        </is>
      </c>
      <c r="B18" s="171">
        <f>IF(B17=0,"Chưa điền",IF(ABS(B17-1)&lt;0.001,"Đạt","Sai: tổng khác 100%"))</f>
        <v/>
      </c>
    </row>
    <row r="19" ht="15" customHeight="1" s="112">
      <c r="A19" s="111" t="inlineStr">
        <is>
          <t>Kiểm tra: giá mỗi việc vượt hạn mức ≥ giá sàn mỗi việc (trang 1, dòng 26)?</t>
        </is>
      </c>
      <c r="B19" s="171">
        <f>IF(B11=0,"Chưa điền",IF(B11&gt;='1_Chi phí mỗi việc'!B26,"Đạt","Thấp hơn giá sàn"))</f>
        <v/>
      </c>
    </row>
    <row r="21" ht="15" customHeight="1" s="112">
      <c r="A21" s="111" t="inlineStr">
        <is>
          <t>Tỷ trọng doanh thu đến từ khách dùng nhiều</t>
        </is>
      </c>
      <c r="B21" s="170">
        <f>IFERROR(B16*D16/D17,0)</f>
        <v/>
      </c>
    </row>
    <row r="22" ht="15" customHeight="1" s="112">
      <c r="A22" s="111" t="inlineStr">
        <is>
          <t>Trong đó: phí vượt hạn mức</t>
        </is>
      </c>
      <c r="B22" s="170">
        <f>IFERROR(B16*MAX(0,C16-B10)*B11/D17,0)</f>
        <v/>
      </c>
    </row>
    <row r="23" ht="15" customHeight="1" s="112">
      <c r="A23" s="111" t="inlineStr">
        <is>
          <t>Cảnh báo phụ thuộc</t>
        </is>
      </c>
      <c r="B23" s="171">
        <f>IF(D17=0,"Chưa điền",IF(B21&gt;0.5,"Trên 50% doanh thu đến từ khách dùng nhiều: xem tình huống đặc biệt ở trang 5","Đạt"))</f>
        <v/>
      </c>
    </row>
    <row r="25" ht="15" customHeight="1" s="112">
      <c r="A25" s="116" t="inlineStr">
        <is>
          <t>PHÉP THỬ GIÁ: dùng chính quy tắc của Ngày 22 và chỉ số của Ngày 23</t>
        </is>
      </c>
    </row>
    <row r="26" ht="15" customHeight="1" s="112">
      <c r="A26" s="132" t="inlineStr">
        <is>
          <t>Lương 1 tháng của người được thay</t>
        </is>
      </c>
      <c r="B26" s="133" t="n">
        <v>8000000</v>
      </c>
      <c r="C26" s="132" t="inlineStr">
        <is>
          <t>VND / tháng</t>
        </is>
      </c>
      <c r="D26" s="149" t="inlineStr">
        <is>
          <t>Đề bài 1: Lương nhân viên nhập liệu</t>
        </is>
      </c>
    </row>
    <row r="27" ht="15" customHeight="1" s="112">
      <c r="A27" s="132" t="inlineStr">
        <is>
          <t>Tỷ lệ chia doanh thu cho đối tác / kênh bán</t>
        </is>
      </c>
      <c r="B27" s="172" t="n">
        <v>0</v>
      </c>
      <c r="C27" s="132" t="inlineStr">
        <is>
          <t>% doanh thu</t>
        </is>
      </c>
      <c r="D27" s="149" t="inlineStr">
        <is>
          <t>Đề bài 1: Bán trực tiếp</t>
        </is>
      </c>
    </row>
    <row r="28" ht="45" customHeight="1" s="112">
      <c r="A28" s="125" t="inlineStr">
        <is>
          <t>Nhóm khách</t>
        </is>
      </c>
      <c r="B28" s="125" t="inlineStr">
        <is>
          <t>Trả mỗi tháng</t>
        </is>
      </c>
      <c r="C28" s="125" t="inlineStr">
        <is>
          <t>So với lương người được thay</t>
        </is>
      </c>
      <c r="D28" s="125" t="inlineStr">
        <is>
          <t>Quy tắc neo 50–70% lương (Ngày 22)</t>
        </is>
      </c>
      <c r="E28" s="125" t="inlineStr">
        <is>
          <t>Tiền AI ÷ doanh thu (chỉ số Ngày 23)</t>
        </is>
      </c>
      <c r="F28" s="125" t="inlineStr">
        <is>
          <t>Mức theo Ngày 23</t>
        </is>
      </c>
    </row>
    <row r="29" ht="30" customHeight="1" s="112">
      <c r="A29" s="132" t="inlineStr">
        <is>
          <t>Khách thường</t>
        </is>
      </c>
      <c r="B29" s="134">
        <f>D15</f>
        <v/>
      </c>
      <c r="C29" s="138">
        <f>IFERROR(B29/$B$26,"")</f>
        <v/>
      </c>
      <c r="D29" s="173">
        <f>IF(C29="","",IF(C29&lt;0.5,"Dưới 50%: còn dư địa",IF(C29&lt;=0.7,"Trong vùng 50–70%","Trên 70%: khách thà thuê người? Xem dòng 34")))</f>
        <v/>
      </c>
      <c r="E29" s="174">
        <f>IFERROR(E15/B29,"")</f>
        <v/>
      </c>
      <c r="F29" s="137">
        <f>IF(E29="","",IF(E29&lt;0.3,"Ổn (dưới 0,3)",IF(E29&lt;=0.6,"Đáng lo (0,3–0,6)","Nguy (trên 0,6)")))</f>
        <v/>
      </c>
    </row>
    <row r="30" ht="30" customHeight="1" s="112">
      <c r="A30" s="132" t="inlineStr">
        <is>
          <t>Khách dùng nhiều, gói kết hợp</t>
        </is>
      </c>
      <c r="B30" s="134">
        <f>D16</f>
        <v/>
      </c>
      <c r="C30" s="138">
        <f>IFERROR(B30/$B$26,"")</f>
        <v/>
      </c>
      <c r="D30" s="173">
        <f>IF(C30="","",IF(C30&lt;0.5,"Dưới 50%: còn dư địa",IF(C30&lt;=0.7,"Trong vùng 50–70%","Trên 70%: khách thà thuê người? Xem dòng 34")))</f>
        <v/>
      </c>
      <c r="E30" s="174">
        <f>IFERROR(E16/B30,"")</f>
        <v/>
      </c>
      <c r="F30" s="137">
        <f>IF(E30="","",IF(E30&lt;0.3,"Ổn (dưới 0,3)",IF(E30&lt;=0.6,"Đáng lo (0,3–0,6)","Nguy (trên 0,6)")))</f>
        <v/>
      </c>
    </row>
    <row r="31" ht="30" customHeight="1" s="112">
      <c r="A31" s="132" t="inlineStr">
        <is>
          <t>Khách dùng nhiều, nếu bán gói không giới hạn</t>
        </is>
      </c>
      <c r="B31" s="134">
        <f>G16</f>
        <v/>
      </c>
      <c r="C31" s="138">
        <f>IFERROR(B31/$B$26,"")</f>
        <v/>
      </c>
      <c r="D31" s="173">
        <f>IF(C31="","",IF(C31&lt;0.5,"Dưới 50%: còn dư địa",IF(C31&lt;=0.7,"Trong vùng 50–70%","Trên 70%: khách thà thuê người? Xem dòng 34")))</f>
        <v/>
      </c>
      <c r="E31" s="174">
        <f>IFERROR(E16/B31,"")</f>
        <v/>
      </c>
      <c r="F31" s="137">
        <f>IF(E31="","",IF(E31&lt;0.3,"Ổn (dưới 0,3)",IF(E31&lt;=0.6,"Đáng lo (0,3–0,6)","Nguy (trên 0,6)")))</f>
        <v/>
      </c>
    </row>
    <row r="32" ht="15" customHeight="1" s="112">
      <c r="A32" s="135" t="inlineStr">
        <is>
          <t>Biên lợi nhuận gộp bình quân sau khi chia cho đối tác</t>
        </is>
      </c>
      <c r="B32" s="175">
        <f>IFERROR((D17*(1-B27)-E17)/D17,"")</f>
        <v/>
      </c>
      <c r="C32" s="137">
        <f>IF(B32="","",IF(B32&gt;0.5,"Ổn",IF(B32&gt;=0.35,"Đáng lo","Nguy")))</f>
        <v/>
      </c>
      <c r="D32" s="162" t="inlineStr">
        <is>
          <t>Ngày 23: trên 50% ổn · 35–50% đáng lo · dưới 35% nguy</t>
        </is>
      </c>
    </row>
    <row r="33" ht="30" customHeight="1" s="112">
      <c r="A33" s="124" t="inlineStr">
        <is>
          <t>Để sau: làm xong trang 5 thì quay lại so tỷ lệ chia ở dòng 27 với mức tối đa tự tính ở trang 5, dòng 77. Ngưỡng 50% của Ngày 23 chưa đủ: với bản mẫu, chia quá khoảng 14% là giá trị hiện tại ròng đã âm dù biên sau chia vẫn trên 50%.</t>
        </is>
      </c>
    </row>
    <row r="34" ht="30" customHeight="1" s="112">
      <c r="A34" s="124" t="inlineStr">
        <is>
          <t>Khách dùng nhiều vượt 70% lương không phải lỗi bắt buộc sửa: KHÔNG hạ phí vượt xuống dưới giá sàn. Hỏi lại: với khối lượng đó, khách có phải thuê hơn 1 người không? Nếu vẫn vượt, đó là rủi ro khách bỏ đi (trang 5, dòng 68): ghi vào trang 7.</t>
        </is>
      </c>
    </row>
    <row r="35" ht="15" customHeight="1" s="112">
      <c r="A35" s="116" t="inlineStr">
        <is>
          <t>CÁCH NHẬP DÒNG 9–12 THEO CÁCH TÍNH TIỀN ĐÃ CHỌN Ở DÒNG 6</t>
        </is>
      </c>
    </row>
    <row r="36" ht="15" customHeight="1" s="112">
      <c r="A36" s="132" t="inlineStr">
        <is>
          <t>Theo lượt dùng</t>
        </is>
      </c>
      <c r="B36" s="124" t="inlineStr">
        <is>
          <t>Dòng 9 = 0 · dòng 10 = 0 · dòng 11 = giá mỗi việc</t>
        </is>
      </c>
    </row>
    <row r="37" ht="30" customHeight="1" s="112">
      <c r="A37" s="132" t="inlineStr">
        <is>
          <t>Theo người dùng (tài khoản)</t>
        </is>
      </c>
      <c r="B37" s="124" t="inlineStr">
        <is>
          <t>Dòng 9 = giá mỗi tài khoản × số tài khoản của 1 khách · dòng 10 = mức dùng hợp lý · dòng 11 = phí vượt (không thu thì để trống, bỏ qua dòng 19, xem rủi ro ở dòng 31)</t>
        </is>
      </c>
    </row>
    <row r="38" ht="15" customHeight="1" s="112">
      <c r="A38" s="132" t="inlineStr">
        <is>
          <t>Theo kết quả</t>
        </is>
      </c>
      <c r="B38" s="124" t="inlineStr">
        <is>
          <t>Dòng 9 = 0 · dòng 10 = 0 · dòng 11 = giá mỗi kết quả × tỷ lệ việc ra kết quả</t>
        </is>
      </c>
    </row>
    <row r="39" ht="15" customHeight="1" s="112">
      <c r="A39" s="132" t="inlineStr">
        <is>
          <t>Kết hợp (bản mẫu)</t>
        </is>
      </c>
      <c r="B39" s="124" t="inlineStr">
        <is>
          <t>Dòng 9 = 499.000 · dòng 10 = 300 việc · dòng 11 = 1.500 đồng mỗi việc</t>
        </is>
      </c>
    </row>
    <row r="40" ht="15" customHeight="1" s="112">
      <c r="A40" s="132" t="inlineStr">
        <is>
          <t>Dòng 12</t>
        </is>
      </c>
      <c r="B40" s="124" t="inlineStr">
        <is>
          <t>Chỉ để so sánh: nhập bằng phí cố định dòng 9; nếu dòng 9 = 0 thì nhập mức trọn gói nhóm từng cân nhắc.</t>
        </is>
      </c>
    </row>
  </sheetData>
  <sheetProtection selectLockedCells="0" selectUnlockedCells="0" sheet="1" objects="0" insertRows="1" insertHyperlinks="1" autoFilter="1" scenarios="0" formatColumns="0" deleteColumns="1" insertColumns="1" pivotTables="1" deleteRows="1" formatCells="1" formatRows="0" sort="1"/>
  <mergeCells count="7">
    <mergeCell ref="A33:I33"/>
    <mergeCell ref="B39:I39"/>
    <mergeCell ref="B38:I38"/>
    <mergeCell ref="B36:I36"/>
    <mergeCell ref="B37:I37"/>
    <mergeCell ref="A34:I34"/>
    <mergeCell ref="B40:I40"/>
  </mergeCells>
  <dataValidations count="2">
    <dataValidation sqref="B6" showDropDown="0" showInputMessage="0" showErrorMessage="0" allowBlank="1" type="list" errorStyle="stop" operator="between">
      <formula1>"Theo người dùng,Theo lượt dùng,Theo kết quả,Kết hợp (phí cố định + vượt hạn mức)"</formula1>
      <formula2>0</formula2>
    </dataValidation>
    <dataValidation sqref="B27" showDropDown="0" showInputMessage="0" showErrorMessage="1" allowBlank="1" error="Nhập tỷ lệ từ 0% đến 90%." type="decimal" errorStyle="stop" operator="between">
      <formula1>0</formula1>
      <formula2>0.9</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11" min="1" max="1"/>
    <col width="18" customWidth="1" style="111" min="2" max="4"/>
    <col width="14" customWidth="1" style="111" min="5" max="5"/>
    <col width="50" customWidth="1" style="111" min="6" max="6"/>
    <col width="56" customWidth="1" style="111" min="7" max="7"/>
  </cols>
  <sheetData>
    <row r="1" ht="17.25" customHeight="1" s="112">
      <c r="A1" s="113" t="inlineStr">
        <is>
          <t>3 · Giả định cho 3 kịch bản</t>
        </is>
      </c>
    </row>
    <row r="2" ht="15" customHeight="1" s="112">
      <c r="A2" s="120" t="inlineStr">
        <is>
          <t>Lạc quan = trình bày với nhà đầu tư · Cơ sở = lập kế hoạch · Xấu = để sống sót. Điền cột CƠ SỞ trước, có nguồn hoặc lý do. Cột Lạc quan, Xấu có sẵn mặc định theo Cơ sở (xem cột Gợi ý); sửa nếu có lý do.</t>
        </is>
      </c>
    </row>
    <row r="4" ht="15" customHeight="1" s="112">
      <c r="A4" s="125" t="inlineStr">
        <is>
          <t>Giả định</t>
        </is>
      </c>
      <c r="B4" s="125" t="inlineStr">
        <is>
          <t>Lạc quan</t>
        </is>
      </c>
      <c r="C4" s="125" t="inlineStr">
        <is>
          <t>Cơ sở</t>
        </is>
      </c>
      <c r="D4" s="125" t="inlineStr">
        <is>
          <t>Xấu</t>
        </is>
      </c>
      <c r="E4" s="125" t="inlineStr">
        <is>
          <t>Đơn vị</t>
        </is>
      </c>
      <c r="F4" s="125" t="inlineStr">
        <is>
          <t>Nguồn / lý do</t>
        </is>
      </c>
      <c r="G4" s="125" t="inlineStr">
        <is>
          <t>Gợi ý · bản mẫu (Lạc quan / Cơ sở / Xấu)</t>
        </is>
      </c>
    </row>
    <row r="5" ht="31.5" customHeight="1" s="112">
      <c r="A5" s="176" t="inlineStr">
        <is>
          <t>Hệ số doanh thu bình quân so với trang 2 (1 = giữ nguyên · 1,1 = cao hơn 10% · 0,8 = thấp hơn 20%)</t>
        </is>
      </c>
      <c r="B5" s="177" t="n">
        <v>1.1</v>
      </c>
      <c r="C5" s="177" t="n">
        <v>1</v>
      </c>
      <c r="D5" s="177" t="n">
        <v>0.8</v>
      </c>
      <c r="E5" s="153" t="inlineStr">
        <is>
          <t>×</t>
        </is>
      </c>
      <c r="F5" s="178" t="inlineStr">
        <is>
          <t>Cơ sở = 1. Lạc quan, xấu: mặc định 1,1 và 0,8; sửa nếu có lý do</t>
        </is>
      </c>
      <c r="G5" s="155" t="inlineStr">
        <is>
          <t>Bản mẫu: 1,1 / 1 / 0,8. Xấu: bị ép giảm giá; lạc quan: bán được gói cao hơn.</t>
        </is>
      </c>
    </row>
    <row r="6" ht="31.5" customHeight="1" s="112">
      <c r="A6" s="176" t="inlineStr">
        <is>
          <t>Hệ số chi phí AI / khách so với trang 2 (gõ như dòng 5)</t>
        </is>
      </c>
      <c r="B6" s="177" t="n">
        <v>0.9</v>
      </c>
      <c r="C6" s="177" t="n">
        <v>1</v>
      </c>
      <c r="D6" s="177" t="n">
        <v>1.2</v>
      </c>
      <c r="E6" s="153" t="inlineStr">
        <is>
          <t>×</t>
        </is>
      </c>
      <c r="F6" s="178" t="n"/>
      <c r="G6" s="155" t="inlineStr">
        <is>
          <t>Bản mẫu: 0,9 / 1 / 1,2. Giá gọi AI hoặc cách khách dùng thay đổi.</t>
        </is>
      </c>
    </row>
    <row r="7" ht="31.5" customHeight="1" s="112">
      <c r="A7" s="176" t="inlineStr">
        <is>
          <t>Khách mới tháng 1 (số khách ký được trong tháng đầu bán)</t>
        </is>
      </c>
      <c r="B7" s="179">
        <f>C7*1.3</f>
        <v/>
      </c>
      <c r="C7" s="179" t="n">
        <v>12</v>
      </c>
      <c r="D7" s="179">
        <f>C7*0.5</f>
        <v/>
      </c>
      <c r="E7" s="153" t="inlineStr">
        <is>
          <t>khách</t>
        </is>
      </c>
      <c r="F7" s="178" t="inlineStr">
        <is>
          <t>Đề bài 1: 12 văn phòng</t>
        </is>
      </c>
      <c r="G7" s="155" t="inlineStr">
        <is>
          <t>Cơ sở: số khách đội bán hàng ký được thật trong tháng đầu. Mặc định: lạc quan = cơ sở × 1,3; xấu = cơ sở × 0,5. (Bản mẫu tự đặt 40 / 30 / 15.)</t>
        </is>
      </c>
    </row>
    <row r="8" ht="46.5" customHeight="1" s="112">
      <c r="A8" s="176" t="inlineStr">
        <is>
          <t>Tăng trưởng khách mới / tháng (tính kép: 5%/tháng → tháng 24 gấp khoảng 3 lần tháng 1; 20%/tháng → gấp khoảng 66 lần)</t>
        </is>
      </c>
      <c r="B8" s="157">
        <f>C8*1.6</f>
        <v/>
      </c>
      <c r="C8" s="157" t="n">
        <v>0.05</v>
      </c>
      <c r="D8" s="157">
        <f>C8*0.4</f>
        <v/>
      </c>
      <c r="E8" s="153" t="inlineStr">
        <is>
          <t>%</t>
        </is>
      </c>
      <c r="F8" s="178" t="inlineStr">
        <is>
          <t>Đề bài 1: 5%/tháng</t>
        </is>
      </c>
      <c r="G8" s="155" t="inlineStr">
        <is>
          <t>Mặc định: lạc quan × 1,6, xấu × 0,4. Bản mẫu: 8% / 5% / 2%. Trên 10% mỗi tháng cần lý do rất chắc.</t>
        </is>
      </c>
    </row>
    <row r="9" ht="43.5" customHeight="1" s="112">
      <c r="A9" s="176" t="inlineStr">
        <is>
          <t>Tỷ lệ rời bỏ / tháng</t>
        </is>
      </c>
      <c r="B9" s="157">
        <f>C9*0.6</f>
        <v/>
      </c>
      <c r="C9" s="157" t="n">
        <v>0.03</v>
      </c>
      <c r="D9" s="157">
        <f>C9*1.6</f>
        <v/>
      </c>
      <c r="E9" s="153" t="inlineStr">
        <is>
          <t>%</t>
        </is>
      </c>
      <c r="F9" s="178" t="inlineStr">
        <is>
          <t>Đề bài 1: Dữ liệu đã nối PM kế toán, khó bỏ</t>
        </is>
      </c>
      <c r="G9" s="155" t="inlineStr">
        <is>
          <t>Chưa có số đo: lấy từ phỏng vấn hoặc thử nghiệm, ghi "Giả định". Xấu phải ≥ 1,5 × cơ sở. Mặc định: lạc quan × 0,6, xấu × 1,6. Bản mẫu: 3% / 5% / 8%.</t>
        </is>
      </c>
    </row>
    <row r="10" ht="31.5" customHeight="1" s="112">
      <c r="A10" s="176" t="inlineStr">
        <is>
          <t>Chi phí có một khách (CAC) = tiền quảng cáo và bán hàng 1 tháng ÷ số khách mới tháng đó</t>
        </is>
      </c>
      <c r="B10" s="180">
        <f>C10*0.8</f>
        <v/>
      </c>
      <c r="C10" s="180" t="n">
        <v>9000000</v>
      </c>
      <c r="D10" s="180">
        <f>C10*1.5</f>
        <v/>
      </c>
      <c r="E10" s="153" t="inlineStr">
        <is>
          <t>VND / khách</t>
        </is>
      </c>
      <c r="F10" s="178" t="inlineStr">
        <is>
          <t>Đề bài 1: Bán trực tiếp: demo, tích hợp</t>
        </is>
      </c>
      <c r="G10" s="155" t="inlineStr">
        <is>
          <t>Xấu phải ≥ 1,5 × cơ sở. Mặc định: lạc quan × 0,8, xấu × 1,5. (Bản mẫu tự đặt 1,2 / 1,5 / 2,3 triệu đồng.)</t>
        </is>
      </c>
    </row>
    <row r="11" ht="46.5" customHeight="1" s="112">
      <c r="A11" s="176" t="inlineStr">
        <is>
          <t>Chi phí cố định / tháng (lương đội, văn phòng, hạ tầng trả cố định)</t>
        </is>
      </c>
      <c r="B11" s="180">
        <f>C11</f>
        <v/>
      </c>
      <c r="C11" s="180" t="n">
        <v>200000000</v>
      </c>
      <c r="D11" s="180">
        <f>C11</f>
        <v/>
      </c>
      <c r="E11" s="153" t="inlineStr">
        <is>
          <t>VND / tháng</t>
        </is>
      </c>
      <c r="F11" s="178" t="inlineStr">
        <is>
          <t>Đề bài 1: Đội 6 người và văn phòng</t>
        </is>
      </c>
      <c r="G11" s="124" t="inlineStr">
        <is>
          <t>Gõ đủ số đồng. Gồm lương đội phát triển (đã tách khỏi trang 1) và chi phí kiểm thử lại mỗi khi đổi mô hình hoặc câu lệnh. Bản mẫu: 150 triệu.</t>
        </is>
      </c>
    </row>
    <row r="12" ht="76.5" customHeight="1" s="112">
      <c r="A12" s="122" t="inlineStr">
        <is>
          <t>Chi phí xây dựng ban đầu, gồm chi phí thử sai (chi một lần ở tháng 0)</t>
        </is>
      </c>
      <c r="B12" s="180">
        <f>C12</f>
        <v/>
      </c>
      <c r="C12" s="180" t="n">
        <v>900000000</v>
      </c>
      <c r="D12" s="180">
        <f>C12</f>
        <v/>
      </c>
      <c r="E12" s="153" t="inlineStr">
        <is>
          <t>VND</t>
        </is>
      </c>
      <c r="F12" s="178" t="inlineStr">
        <is>
          <t>Đề bài 1: 4 tháng đội + token + pháp lý</t>
        </is>
      </c>
      <c r="G12" s="124" t="inlineStr">
        <is>
          <t>Gõ đủ số đồng. Gồm cả chi phí thử sai trước khi ra mắt: công đội, token chạy thử, chạy bộ câu hỏi kiểm thử sau mỗi lần sửa, tối ưu câu lệnh, làm dữ liệu mẫu, rà soát pháp lý. Bài toán càng khó càng nhiều vòng thử. Bản mẫu: 600 triệu (3 lập trình viên × 4 tháng + hạ tầng).</t>
        </is>
      </c>
    </row>
    <row r="13" ht="31.5" customHeight="1" s="112">
      <c r="A13" s="176" t="inlineStr">
        <is>
          <t>Tiền mặt hoặc ngân sách đã duyệt (trước khi chi xây dựng)</t>
        </is>
      </c>
      <c r="B13" s="180">
        <f>C13</f>
        <v/>
      </c>
      <c r="C13" s="180" t="n">
        <v>2500000000</v>
      </c>
      <c r="D13" s="180">
        <f>C13</f>
        <v/>
      </c>
      <c r="E13" s="153" t="inlineStr">
        <is>
          <t>VND</t>
        </is>
      </c>
      <c r="F13" s="178" t="inlineStr">
        <is>
          <t>Đề bài 1: Tiền mặt sẵn có</t>
        </is>
      </c>
      <c r="G13" s="155" t="inlineStr">
        <is>
          <t>Gõ đủ số đồng. Dự án trong công ty: ghi ngân sách đã duyệt. Để trống thì mọi kịch bản hết tiền ngay tháng 1. Bản mẫu: 2 tỷ.</t>
        </is>
      </c>
    </row>
    <row r="14" ht="15.75" customHeight="1" s="112">
      <c r="A14" s="151" t="inlineStr">
        <is>
          <t>Lãi suất chiết khấu / năm</t>
        </is>
      </c>
      <c r="B14" s="157" t="n">
        <v>0.15</v>
      </c>
      <c r="C14" s="157" t="n">
        <v>0.15</v>
      </c>
      <c r="D14" s="157" t="n">
        <v>0.15</v>
      </c>
      <c r="E14" s="153" t="inlineStr">
        <is>
          <t>%</t>
        </is>
      </c>
      <c r="F14" s="181" t="inlineStr">
        <is>
          <t>Giả định của lớp: chi phí vốn cho dự án rủi ro cao</t>
        </is>
      </c>
      <c r="G14" s="155" t="inlineStr">
        <is>
          <t>Giữ 15% nếu không có lý do khác.</t>
        </is>
      </c>
    </row>
    <row r="16" ht="15" customHeight="1" s="112">
      <c r="A16" s="116" t="inlineStr">
        <is>
          <t>Giá trị tính ra</t>
        </is>
      </c>
    </row>
    <row r="17" ht="15" customHeight="1" s="112">
      <c r="A17" s="158" t="inlineStr">
        <is>
          <t>Doanh thu bình quân / khách / tháng</t>
        </is>
      </c>
      <c r="B17" s="159">
        <f>'2_Định giá'!D17*B5*(1-'2_Định giá'!$B$27)</f>
        <v/>
      </c>
      <c r="C17" s="159">
        <f>'2_Định giá'!D17*C5*(1-'2_Định giá'!$B$27)</f>
        <v/>
      </c>
      <c r="D17" s="159">
        <f>'2_Định giá'!D17*D5*(1-'2_Định giá'!$B$27)</f>
        <v/>
      </c>
    </row>
    <row r="18" ht="15" customHeight="1" s="112">
      <c r="A18" s="158" t="inlineStr">
        <is>
          <t>Chi phí AI (giá vốn) / khách / tháng</t>
        </is>
      </c>
      <c r="B18" s="159">
        <f>'2_Định giá'!E17*B6</f>
        <v/>
      </c>
      <c r="C18" s="159">
        <f>'2_Định giá'!E17*C6</f>
        <v/>
      </c>
      <c r="D18" s="159">
        <f>'2_Định giá'!E17*D6</f>
        <v/>
      </c>
    </row>
    <row r="19" ht="15" customHeight="1" s="112">
      <c r="A19" s="162" t="inlineStr">
        <is>
          <t>Doanh thu bình quân đã trừ phần chia cho đối tác (trang 2, dòng 27).</t>
        </is>
      </c>
    </row>
    <row r="20" ht="15" customHeight="1" s="112">
      <c r="A20" s="116" t="inlineStr">
        <is>
          <t>Kiểm tra kịch bản xấu</t>
        </is>
      </c>
    </row>
    <row r="21" ht="15" customHeight="1" s="112">
      <c r="A21" s="111" t="inlineStr">
        <is>
          <t>Tỷ lệ rời bỏ (xấu) ≥ 1,5 × cơ sở?</t>
        </is>
      </c>
      <c r="B21" s="171">
        <f>IF(C9=0,"Chưa điền",IF(D9&gt;=1.5*C9,"Đạt","Chưa đủ sốc"))</f>
        <v/>
      </c>
    </row>
    <row r="22" ht="15" customHeight="1" s="112">
      <c r="A22" s="111" t="inlineStr">
        <is>
          <t>Chi phí có một khách (xấu) ≥ 1,5 × cơ sở?</t>
        </is>
      </c>
      <c r="B22" s="171">
        <f>IF(C10=0,"Chưa điền",IF(D10&gt;=1.5*C10,"Đạt","Chưa đủ sốc"))</f>
        <v/>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111" min="1" max="1"/>
    <col width="18" customWidth="1" style="111" min="2" max="4"/>
    <col width="20" customWidth="1" style="111" min="5" max="5"/>
  </cols>
  <sheetData>
    <row r="1" ht="17.25" customHeight="1" s="112">
      <c r="A1" s="113" t="inlineStr">
        <is>
          <t>4 · Chỉ số trên mỗi khách: có lãi trên từng khách không?</t>
        </is>
      </c>
    </row>
    <row r="2" ht="15" customHeight="1" s="112">
      <c r="A2" s="120" t="inlineStr">
        <is>
          <t>Giá trị vòng đời (LTV) tính trên lợi nhuận gộp, KHÔNG tính trên doanh thu.</t>
        </is>
      </c>
    </row>
    <row r="4" ht="15" customHeight="1" s="112">
      <c r="A4" s="125" t="inlineStr">
        <is>
          <t>Chỉ số</t>
        </is>
      </c>
      <c r="B4" s="125" t="inlineStr">
        <is>
          <t>Lạc quan</t>
        </is>
      </c>
      <c r="C4" s="125" t="inlineStr">
        <is>
          <t>Cơ sở</t>
        </is>
      </c>
      <c r="D4" s="125" t="inlineStr">
        <is>
          <t>Xấu</t>
        </is>
      </c>
      <c r="E4" s="125" t="inlineStr">
        <is>
          <t>Ngưỡng tham khảo</t>
        </is>
      </c>
    </row>
    <row r="5" ht="15" customHeight="1" s="112">
      <c r="A5" s="158" t="inlineStr">
        <is>
          <t>Doanh thu bình quân / khách / tháng</t>
        </is>
      </c>
      <c r="B5" s="159">
        <f>'3_Giả định'!B17</f>
        <v/>
      </c>
      <c r="C5" s="159">
        <f>'3_Giả định'!C17</f>
        <v/>
      </c>
      <c r="D5" s="159">
        <f>'3_Giả định'!D17</f>
        <v/>
      </c>
    </row>
    <row r="6" ht="15" customHeight="1" s="112">
      <c r="A6" s="158" t="inlineStr">
        <is>
          <t>Lợi nhuận gộp / khách / tháng</t>
        </is>
      </c>
      <c r="B6" s="159">
        <f>'3_Giả định'!B17-'3_Giả định'!B18</f>
        <v/>
      </c>
      <c r="C6" s="159">
        <f>'3_Giả định'!C17-'3_Giả định'!C18</f>
        <v/>
      </c>
      <c r="D6" s="159">
        <f>'3_Giả định'!D17-'3_Giả định'!D18</f>
        <v/>
      </c>
    </row>
    <row r="7" ht="15" customHeight="1" s="112">
      <c r="A7" s="158" t="inlineStr">
        <is>
          <t>Biên lợi nhuận gộp</t>
        </is>
      </c>
      <c r="B7" s="161">
        <f>IFERROR(B6/B5,0)</f>
        <v/>
      </c>
      <c r="C7" s="161">
        <f>IFERROR(C6/C5,0)</f>
        <v/>
      </c>
      <c r="D7" s="161">
        <f>IFERROR(D6/D5,0)</f>
        <v/>
      </c>
      <c r="E7" s="111" t="inlineStr">
        <is>
          <t>≥ 60%</t>
        </is>
      </c>
    </row>
    <row r="8" ht="15" customHeight="1" s="112">
      <c r="A8" s="158" t="inlineStr">
        <is>
          <t>Số tháng khách ở lại = 1 ÷ tỷ lệ rời bỏ</t>
        </is>
      </c>
      <c r="B8" s="182">
        <f>IFERROR(1/'3_Giả định'!B9,0)</f>
        <v/>
      </c>
      <c r="C8" s="182">
        <f>IFERROR(1/'3_Giả định'!C9,0)</f>
        <v/>
      </c>
      <c r="D8" s="182">
        <f>IFERROR(1/'3_Giả định'!D9,0)</f>
        <v/>
      </c>
    </row>
    <row r="9" ht="15" customHeight="1" s="112">
      <c r="A9" s="158" t="inlineStr">
        <is>
          <t>Giá trị vòng đời (LTV) = lợi nhuận gộp × số tháng ở lại</t>
        </is>
      </c>
      <c r="B9" s="159">
        <f>B6*B8</f>
        <v/>
      </c>
      <c r="C9" s="159">
        <f>C6*C8</f>
        <v/>
      </c>
      <c r="D9" s="159">
        <f>D6*D8</f>
        <v/>
      </c>
    </row>
    <row r="10" ht="15" customHeight="1" s="112">
      <c r="A10" s="158" t="inlineStr">
        <is>
          <t>Chi phí có một khách (CAC)</t>
        </is>
      </c>
      <c r="B10" s="159">
        <f>'3_Giả định'!B10</f>
        <v/>
      </c>
      <c r="C10" s="159">
        <f>'3_Giả định'!C10</f>
        <v/>
      </c>
      <c r="D10" s="159">
        <f>'3_Giả định'!D10</f>
        <v/>
      </c>
    </row>
    <row r="11" ht="15" customHeight="1" s="112">
      <c r="A11" s="158" t="inlineStr">
        <is>
          <t>LTV ÷ CAC (lần)</t>
        </is>
      </c>
      <c r="B11" s="183">
        <f>IFERROR(B9/B10,0)</f>
        <v/>
      </c>
      <c r="C11" s="183">
        <f>IFERROR(C9/C10,0)</f>
        <v/>
      </c>
      <c r="D11" s="183">
        <f>IFERROR(D9/D10,0)</f>
        <v/>
      </c>
      <c r="E11" s="115" t="inlineStr">
        <is>
          <t>&gt; 3 (Ngày 23); mô hình của bạn: trang 5, dòng 74</t>
        </is>
      </c>
    </row>
    <row r="12" ht="15" customHeight="1" s="112">
      <c r="A12" s="158" t="inlineStr">
        <is>
          <t>Thời gian hoàn vốn chi phí có khách (tháng)</t>
        </is>
      </c>
      <c r="B12" s="182">
        <f>IFERROR(B10/B6,0)</f>
        <v/>
      </c>
      <c r="C12" s="182">
        <f>IFERROR(C10/C6,0)</f>
        <v/>
      </c>
      <c r="D12" s="182">
        <f>IFERROR(D10/D6,0)</f>
        <v/>
      </c>
      <c r="E12" s="111" t="inlineStr">
        <is>
          <t>&lt; 12 tháng</t>
        </is>
      </c>
    </row>
    <row r="13" ht="15" customHeight="1" s="112">
      <c r="A13" s="158" t="inlineStr">
        <is>
          <t>Đánh giá</t>
        </is>
      </c>
      <c r="B13" s="184">
        <f>IF(B5&lt;=0,"Chưa điền trang 2–3",IF(B6&lt;=0,"Lỗ trên từng khách",IF(AND(B11&gt;3,B12&lt;12,B7&gt;=0.6),"Khỏe",IF(B11&gt;=1,"Cần cải thiện","Đốt tiền"))))</f>
        <v/>
      </c>
      <c r="C13" s="184">
        <f>IF(C5&lt;=0,"Chưa điền trang 2–3",IF(C6&lt;=0,"Lỗ trên từng khách",IF(AND(C11&gt;3,C12&lt;12,C7&gt;=0.6),"Khỏe",IF(C11&gt;=1,"Cần cải thiện","Đốt tiền"))))</f>
        <v/>
      </c>
      <c r="D13" s="184">
        <f>IF(D5&lt;=0,"Chưa điền trang 2–3",IF(D6&lt;=0,"Lỗ trên từng khách",IF(AND(D11&gt;3,D12&lt;12,D7&gt;=0.6),"Khỏe",IF(D11&gt;=1,"Cần cải thiện","Đốt tiền"))))</f>
        <v/>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Z144"/>
  <sheetViews>
    <sheetView showFormulas="0" showGridLines="1"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1"/>
  <cols>
    <col width="38" customWidth="1" style="111" min="1" max="1"/>
    <col width="18" customWidth="1" style="111" min="2" max="26"/>
  </cols>
  <sheetData>
    <row r="1" ht="17.25" customHeight="1" s="112">
      <c r="A1" s="113" t="inlineStr">
        <is>
          <t>5 · Dòng tiền 24 tháng và hiệu quả đầu tư (3 kịch bản)</t>
        </is>
      </c>
    </row>
    <row r="2" ht="15" customHeight="1" s="112">
      <c r="A2" s="120" t="inlineStr">
        <is>
          <t>Trang này tự tính: chỉ đọc kết quả, trừ ô vàng B54 (mức làm xấu). Kết quả chỉ có nghĩa khi trang 1–3 đã điền đủ. Tháng 0 = chi phí xây dựng. Bảng độ nhạy ở dòng 53, mức cảnh báo tự tính ở dòng 70–77.</t>
        </is>
      </c>
    </row>
    <row r="4" ht="15" customHeight="1" s="112">
      <c r="A4" s="125" t="inlineStr">
        <is>
          <t>Kịch bản / dòng</t>
        </is>
      </c>
      <c r="B4" s="125" t="inlineStr">
        <is>
          <t>Tháng 0</t>
        </is>
      </c>
      <c r="C4" s="125" t="inlineStr">
        <is>
          <t>T1</t>
        </is>
      </c>
      <c r="D4" s="125" t="inlineStr">
        <is>
          <t>T2</t>
        </is>
      </c>
      <c r="E4" s="125" t="inlineStr">
        <is>
          <t>T3</t>
        </is>
      </c>
      <c r="F4" s="125" t="inlineStr">
        <is>
          <t>T4</t>
        </is>
      </c>
      <c r="G4" s="125" t="inlineStr">
        <is>
          <t>T5</t>
        </is>
      </c>
      <c r="H4" s="125" t="inlineStr">
        <is>
          <t>T6</t>
        </is>
      </c>
      <c r="I4" s="125" t="inlineStr">
        <is>
          <t>T7</t>
        </is>
      </c>
      <c r="J4" s="125" t="inlineStr">
        <is>
          <t>T8</t>
        </is>
      </c>
      <c r="K4" s="125" t="inlineStr">
        <is>
          <t>T9</t>
        </is>
      </c>
      <c r="L4" s="125" t="inlineStr">
        <is>
          <t>T10</t>
        </is>
      </c>
      <c r="M4" s="125" t="inlineStr">
        <is>
          <t>T11</t>
        </is>
      </c>
      <c r="N4" s="125" t="inlineStr">
        <is>
          <t>T12</t>
        </is>
      </c>
      <c r="O4" s="125" t="inlineStr">
        <is>
          <t>T13</t>
        </is>
      </c>
      <c r="P4" s="125" t="inlineStr">
        <is>
          <t>T14</t>
        </is>
      </c>
      <c r="Q4" s="125" t="inlineStr">
        <is>
          <t>T15</t>
        </is>
      </c>
      <c r="R4" s="125" t="inlineStr">
        <is>
          <t>T16</t>
        </is>
      </c>
      <c r="S4" s="125" t="inlineStr">
        <is>
          <t>T17</t>
        </is>
      </c>
      <c r="T4" s="125" t="inlineStr">
        <is>
          <t>T18</t>
        </is>
      </c>
      <c r="U4" s="125" t="inlineStr">
        <is>
          <t>T19</t>
        </is>
      </c>
      <c r="V4" s="125" t="inlineStr">
        <is>
          <t>T20</t>
        </is>
      </c>
      <c r="W4" s="125" t="inlineStr">
        <is>
          <t>T21</t>
        </is>
      </c>
      <c r="X4" s="125" t="inlineStr">
        <is>
          <t>T22</t>
        </is>
      </c>
      <c r="Y4" s="125" t="inlineStr">
        <is>
          <t>T23</t>
        </is>
      </c>
      <c r="Z4" s="125" t="inlineStr">
        <is>
          <t>T24</t>
        </is>
      </c>
    </row>
    <row r="5" ht="15" customHeight="1" s="112">
      <c r="A5" s="185" t="inlineStr">
        <is>
          <t>LẠC QUAN</t>
        </is>
      </c>
    </row>
    <row r="6" ht="15" customHeight="1" s="112">
      <c r="A6" s="158" t="inlineStr">
        <is>
          <t>Khách mới</t>
        </is>
      </c>
      <c r="C6" s="186">
        <f>'3_Giả định'!$B$7*(1+'3_Giả định'!$B$8)^0</f>
        <v/>
      </c>
      <c r="D6" s="186">
        <f>'3_Giả định'!$B$7*(1+'3_Giả định'!$B$8)^1</f>
        <v/>
      </c>
      <c r="E6" s="186">
        <f>'3_Giả định'!$B$7*(1+'3_Giả định'!$B$8)^2</f>
        <v/>
      </c>
      <c r="F6" s="186">
        <f>'3_Giả định'!$B$7*(1+'3_Giả định'!$B$8)^3</f>
        <v/>
      </c>
      <c r="G6" s="186">
        <f>'3_Giả định'!$B$7*(1+'3_Giả định'!$B$8)^4</f>
        <v/>
      </c>
      <c r="H6" s="186">
        <f>'3_Giả định'!$B$7*(1+'3_Giả định'!$B$8)^5</f>
        <v/>
      </c>
      <c r="I6" s="186">
        <f>'3_Giả định'!$B$7*(1+'3_Giả định'!$B$8)^6</f>
        <v/>
      </c>
      <c r="J6" s="186">
        <f>'3_Giả định'!$B$7*(1+'3_Giả định'!$B$8)^7</f>
        <v/>
      </c>
      <c r="K6" s="186">
        <f>'3_Giả định'!$B$7*(1+'3_Giả định'!$B$8)^8</f>
        <v/>
      </c>
      <c r="L6" s="186">
        <f>'3_Giả định'!$B$7*(1+'3_Giả định'!$B$8)^9</f>
        <v/>
      </c>
      <c r="M6" s="186">
        <f>'3_Giả định'!$B$7*(1+'3_Giả định'!$B$8)^10</f>
        <v/>
      </c>
      <c r="N6" s="186">
        <f>'3_Giả định'!$B$7*(1+'3_Giả định'!$B$8)^11</f>
        <v/>
      </c>
      <c r="O6" s="186">
        <f>'3_Giả định'!$B$7*(1+'3_Giả định'!$B$8)^12</f>
        <v/>
      </c>
      <c r="P6" s="186">
        <f>'3_Giả định'!$B$7*(1+'3_Giả định'!$B$8)^13</f>
        <v/>
      </c>
      <c r="Q6" s="186">
        <f>'3_Giả định'!$B$7*(1+'3_Giả định'!$B$8)^14</f>
        <v/>
      </c>
      <c r="R6" s="186">
        <f>'3_Giả định'!$B$7*(1+'3_Giả định'!$B$8)^15</f>
        <v/>
      </c>
      <c r="S6" s="186">
        <f>'3_Giả định'!$B$7*(1+'3_Giả định'!$B$8)^16</f>
        <v/>
      </c>
      <c r="T6" s="186">
        <f>'3_Giả định'!$B$7*(1+'3_Giả định'!$B$8)^17</f>
        <v/>
      </c>
      <c r="U6" s="186">
        <f>'3_Giả định'!$B$7*(1+'3_Giả định'!$B$8)^18</f>
        <v/>
      </c>
      <c r="V6" s="186">
        <f>'3_Giả định'!$B$7*(1+'3_Giả định'!$B$8)^19</f>
        <v/>
      </c>
      <c r="W6" s="186">
        <f>'3_Giả định'!$B$7*(1+'3_Giả định'!$B$8)^20</f>
        <v/>
      </c>
      <c r="X6" s="186">
        <f>'3_Giả định'!$B$7*(1+'3_Giả định'!$B$8)^21</f>
        <v/>
      </c>
      <c r="Y6" s="186">
        <f>'3_Giả định'!$B$7*(1+'3_Giả định'!$B$8)^22</f>
        <v/>
      </c>
      <c r="Z6" s="186">
        <f>'3_Giả định'!$B$7*(1+'3_Giả định'!$B$8)^23</f>
        <v/>
      </c>
    </row>
    <row r="7" ht="15" customHeight="1" s="112">
      <c r="A7" s="158" t="inlineStr">
        <is>
          <t>Khách đang dùng</t>
        </is>
      </c>
      <c r="B7" s="111" t="n">
        <v>0</v>
      </c>
      <c r="C7" s="186">
        <f>B7*(1-'3_Giả định'!$B$9)+C6</f>
        <v/>
      </c>
      <c r="D7" s="186">
        <f>C7*(1-'3_Giả định'!$B$9)+D6</f>
        <v/>
      </c>
      <c r="E7" s="186">
        <f>D7*(1-'3_Giả định'!$B$9)+E6</f>
        <v/>
      </c>
      <c r="F7" s="186">
        <f>E7*(1-'3_Giả định'!$B$9)+F6</f>
        <v/>
      </c>
      <c r="G7" s="186">
        <f>F7*(1-'3_Giả định'!$B$9)+G6</f>
        <v/>
      </c>
      <c r="H7" s="186">
        <f>G7*(1-'3_Giả định'!$B$9)+H6</f>
        <v/>
      </c>
      <c r="I7" s="186">
        <f>H7*(1-'3_Giả định'!$B$9)+I6</f>
        <v/>
      </c>
      <c r="J7" s="186">
        <f>I7*(1-'3_Giả định'!$B$9)+J6</f>
        <v/>
      </c>
      <c r="K7" s="186">
        <f>J7*(1-'3_Giả định'!$B$9)+K6</f>
        <v/>
      </c>
      <c r="L7" s="186">
        <f>K7*(1-'3_Giả định'!$B$9)+L6</f>
        <v/>
      </c>
      <c r="M7" s="186">
        <f>L7*(1-'3_Giả định'!$B$9)+M6</f>
        <v/>
      </c>
      <c r="N7" s="186">
        <f>M7*(1-'3_Giả định'!$B$9)+N6</f>
        <v/>
      </c>
      <c r="O7" s="186">
        <f>N7*(1-'3_Giả định'!$B$9)+O6</f>
        <v/>
      </c>
      <c r="P7" s="186">
        <f>O7*(1-'3_Giả định'!$B$9)+P6</f>
        <v/>
      </c>
      <c r="Q7" s="186">
        <f>P7*(1-'3_Giả định'!$B$9)+Q6</f>
        <v/>
      </c>
      <c r="R7" s="186">
        <f>Q7*(1-'3_Giả định'!$B$9)+R6</f>
        <v/>
      </c>
      <c r="S7" s="186">
        <f>R7*(1-'3_Giả định'!$B$9)+S6</f>
        <v/>
      </c>
      <c r="T7" s="186">
        <f>S7*(1-'3_Giả định'!$B$9)+T6</f>
        <v/>
      </c>
      <c r="U7" s="186">
        <f>T7*(1-'3_Giả định'!$B$9)+U6</f>
        <v/>
      </c>
      <c r="V7" s="186">
        <f>U7*(1-'3_Giả định'!$B$9)+V6</f>
        <v/>
      </c>
      <c r="W7" s="186">
        <f>V7*(1-'3_Giả định'!$B$9)+W6</f>
        <v/>
      </c>
      <c r="X7" s="186">
        <f>W7*(1-'3_Giả định'!$B$9)+X6</f>
        <v/>
      </c>
      <c r="Y7" s="186">
        <f>X7*(1-'3_Giả định'!$B$9)+Y6</f>
        <v/>
      </c>
      <c r="Z7" s="186">
        <f>Y7*(1-'3_Giả định'!$B$9)+Z6</f>
        <v/>
      </c>
    </row>
    <row r="8" ht="15" customHeight="1" s="112">
      <c r="A8" s="158" t="inlineStr">
        <is>
          <t>Doanh thu</t>
        </is>
      </c>
      <c r="C8" s="187">
        <f>C7*'3_Giả định'!$B$17</f>
        <v/>
      </c>
      <c r="D8" s="187">
        <f>D7*'3_Giả định'!$B$17</f>
        <v/>
      </c>
      <c r="E8" s="187">
        <f>E7*'3_Giả định'!$B$17</f>
        <v/>
      </c>
      <c r="F8" s="187">
        <f>F7*'3_Giả định'!$B$17</f>
        <v/>
      </c>
      <c r="G8" s="187">
        <f>G7*'3_Giả định'!$B$17</f>
        <v/>
      </c>
      <c r="H8" s="187">
        <f>H7*'3_Giả định'!$B$17</f>
        <v/>
      </c>
      <c r="I8" s="187">
        <f>I7*'3_Giả định'!$B$17</f>
        <v/>
      </c>
      <c r="J8" s="187">
        <f>J7*'3_Giả định'!$B$17</f>
        <v/>
      </c>
      <c r="K8" s="187">
        <f>K7*'3_Giả định'!$B$17</f>
        <v/>
      </c>
      <c r="L8" s="187">
        <f>L7*'3_Giả định'!$B$17</f>
        <v/>
      </c>
      <c r="M8" s="187">
        <f>M7*'3_Giả định'!$B$17</f>
        <v/>
      </c>
      <c r="N8" s="187">
        <f>N7*'3_Giả định'!$B$17</f>
        <v/>
      </c>
      <c r="O8" s="187">
        <f>O7*'3_Giả định'!$B$17</f>
        <v/>
      </c>
      <c r="P8" s="187">
        <f>P7*'3_Giả định'!$B$17</f>
        <v/>
      </c>
      <c r="Q8" s="187">
        <f>Q7*'3_Giả định'!$B$17</f>
        <v/>
      </c>
      <c r="R8" s="187">
        <f>R7*'3_Giả định'!$B$17</f>
        <v/>
      </c>
      <c r="S8" s="187">
        <f>S7*'3_Giả định'!$B$17</f>
        <v/>
      </c>
      <c r="T8" s="187">
        <f>T7*'3_Giả định'!$B$17</f>
        <v/>
      </c>
      <c r="U8" s="187">
        <f>U7*'3_Giả định'!$B$17</f>
        <v/>
      </c>
      <c r="V8" s="187">
        <f>V7*'3_Giả định'!$B$17</f>
        <v/>
      </c>
      <c r="W8" s="187">
        <f>W7*'3_Giả định'!$B$17</f>
        <v/>
      </c>
      <c r="X8" s="187">
        <f>X7*'3_Giả định'!$B$17</f>
        <v/>
      </c>
      <c r="Y8" s="187">
        <f>Y7*'3_Giả định'!$B$17</f>
        <v/>
      </c>
      <c r="Z8" s="187">
        <f>Z7*'3_Giả định'!$B$17</f>
        <v/>
      </c>
    </row>
    <row r="9" ht="15" customHeight="1" s="112">
      <c r="A9" s="158" t="inlineStr">
        <is>
          <t>Chi phí AI (giá vốn)</t>
        </is>
      </c>
      <c r="C9" s="187">
        <f>C7*'3_Giả định'!$B$18</f>
        <v/>
      </c>
      <c r="D9" s="187">
        <f>D7*'3_Giả định'!$B$18</f>
        <v/>
      </c>
      <c r="E9" s="187">
        <f>E7*'3_Giả định'!$B$18</f>
        <v/>
      </c>
      <c r="F9" s="187">
        <f>F7*'3_Giả định'!$B$18</f>
        <v/>
      </c>
      <c r="G9" s="187">
        <f>G7*'3_Giả định'!$B$18</f>
        <v/>
      </c>
      <c r="H9" s="187">
        <f>H7*'3_Giả định'!$B$18</f>
        <v/>
      </c>
      <c r="I9" s="187">
        <f>I7*'3_Giả định'!$B$18</f>
        <v/>
      </c>
      <c r="J9" s="187">
        <f>J7*'3_Giả định'!$B$18</f>
        <v/>
      </c>
      <c r="K9" s="187">
        <f>K7*'3_Giả định'!$B$18</f>
        <v/>
      </c>
      <c r="L9" s="187">
        <f>L7*'3_Giả định'!$B$18</f>
        <v/>
      </c>
      <c r="M9" s="187">
        <f>M7*'3_Giả định'!$B$18</f>
        <v/>
      </c>
      <c r="N9" s="187">
        <f>N7*'3_Giả định'!$B$18</f>
        <v/>
      </c>
      <c r="O9" s="187">
        <f>O7*'3_Giả định'!$B$18</f>
        <v/>
      </c>
      <c r="P9" s="187">
        <f>P7*'3_Giả định'!$B$18</f>
        <v/>
      </c>
      <c r="Q9" s="187">
        <f>Q7*'3_Giả định'!$B$18</f>
        <v/>
      </c>
      <c r="R9" s="187">
        <f>R7*'3_Giả định'!$B$18</f>
        <v/>
      </c>
      <c r="S9" s="187">
        <f>S7*'3_Giả định'!$B$18</f>
        <v/>
      </c>
      <c r="T9" s="187">
        <f>T7*'3_Giả định'!$B$18</f>
        <v/>
      </c>
      <c r="U9" s="187">
        <f>U7*'3_Giả định'!$B$18</f>
        <v/>
      </c>
      <c r="V9" s="187">
        <f>V7*'3_Giả định'!$B$18</f>
        <v/>
      </c>
      <c r="W9" s="187">
        <f>W7*'3_Giả định'!$B$18</f>
        <v/>
      </c>
      <c r="X9" s="187">
        <f>X7*'3_Giả định'!$B$18</f>
        <v/>
      </c>
      <c r="Y9" s="187">
        <f>Y7*'3_Giả định'!$B$18</f>
        <v/>
      </c>
      <c r="Z9" s="187">
        <f>Z7*'3_Giả định'!$B$18</f>
        <v/>
      </c>
    </row>
    <row r="10" ht="15" customHeight="1" s="112">
      <c r="A10" s="158" t="inlineStr">
        <is>
          <t>Lợi nhuận gộp</t>
        </is>
      </c>
      <c r="C10" s="187">
        <f>C8-C9</f>
        <v/>
      </c>
      <c r="D10" s="187">
        <f>D8-D9</f>
        <v/>
      </c>
      <c r="E10" s="187">
        <f>E8-E9</f>
        <v/>
      </c>
      <c r="F10" s="187">
        <f>F8-F9</f>
        <v/>
      </c>
      <c r="G10" s="187">
        <f>G8-G9</f>
        <v/>
      </c>
      <c r="H10" s="187">
        <f>H8-H9</f>
        <v/>
      </c>
      <c r="I10" s="187">
        <f>I8-I9</f>
        <v/>
      </c>
      <c r="J10" s="187">
        <f>J8-J9</f>
        <v/>
      </c>
      <c r="K10" s="187">
        <f>K8-K9</f>
        <v/>
      </c>
      <c r="L10" s="187">
        <f>L8-L9</f>
        <v/>
      </c>
      <c r="M10" s="187">
        <f>M8-M9</f>
        <v/>
      </c>
      <c r="N10" s="187">
        <f>N8-N9</f>
        <v/>
      </c>
      <c r="O10" s="187">
        <f>O8-O9</f>
        <v/>
      </c>
      <c r="P10" s="187">
        <f>P8-P9</f>
        <v/>
      </c>
      <c r="Q10" s="187">
        <f>Q8-Q9</f>
        <v/>
      </c>
      <c r="R10" s="187">
        <f>R8-R9</f>
        <v/>
      </c>
      <c r="S10" s="187">
        <f>S8-S9</f>
        <v/>
      </c>
      <c r="T10" s="187">
        <f>T8-T9</f>
        <v/>
      </c>
      <c r="U10" s="187">
        <f>U8-U9</f>
        <v/>
      </c>
      <c r="V10" s="187">
        <f>V8-V9</f>
        <v/>
      </c>
      <c r="W10" s="187">
        <f>W8-W9</f>
        <v/>
      </c>
      <c r="X10" s="187">
        <f>X8-X9</f>
        <v/>
      </c>
      <c r="Y10" s="187">
        <f>Y8-Y9</f>
        <v/>
      </c>
      <c r="Z10" s="187">
        <f>Z8-Z9</f>
        <v/>
      </c>
    </row>
    <row r="11" ht="15" customHeight="1" s="112">
      <c r="A11" s="158" t="inlineStr">
        <is>
          <t>Chi phí bán hàng (chi phí có khách × khách mới)</t>
        </is>
      </c>
      <c r="C11" s="187">
        <f>C6*'3_Giả định'!$B$10</f>
        <v/>
      </c>
      <c r="D11" s="187">
        <f>D6*'3_Giả định'!$B$10</f>
        <v/>
      </c>
      <c r="E11" s="187">
        <f>E6*'3_Giả định'!$B$10</f>
        <v/>
      </c>
      <c r="F11" s="187">
        <f>F6*'3_Giả định'!$B$10</f>
        <v/>
      </c>
      <c r="G11" s="187">
        <f>G6*'3_Giả định'!$B$10</f>
        <v/>
      </c>
      <c r="H11" s="187">
        <f>H6*'3_Giả định'!$B$10</f>
        <v/>
      </c>
      <c r="I11" s="187">
        <f>I6*'3_Giả định'!$B$10</f>
        <v/>
      </c>
      <c r="J11" s="187">
        <f>J6*'3_Giả định'!$B$10</f>
        <v/>
      </c>
      <c r="K11" s="187">
        <f>K6*'3_Giả định'!$B$10</f>
        <v/>
      </c>
      <c r="L11" s="187">
        <f>L6*'3_Giả định'!$B$10</f>
        <v/>
      </c>
      <c r="M11" s="187">
        <f>M6*'3_Giả định'!$B$10</f>
        <v/>
      </c>
      <c r="N11" s="187">
        <f>N6*'3_Giả định'!$B$10</f>
        <v/>
      </c>
      <c r="O11" s="187">
        <f>O6*'3_Giả định'!$B$10</f>
        <v/>
      </c>
      <c r="P11" s="187">
        <f>P6*'3_Giả định'!$B$10</f>
        <v/>
      </c>
      <c r="Q11" s="187">
        <f>Q6*'3_Giả định'!$B$10</f>
        <v/>
      </c>
      <c r="R11" s="187">
        <f>R6*'3_Giả định'!$B$10</f>
        <v/>
      </c>
      <c r="S11" s="187">
        <f>S6*'3_Giả định'!$B$10</f>
        <v/>
      </c>
      <c r="T11" s="187">
        <f>T6*'3_Giả định'!$B$10</f>
        <v/>
      </c>
      <c r="U11" s="187">
        <f>U6*'3_Giả định'!$B$10</f>
        <v/>
      </c>
      <c r="V11" s="187">
        <f>V6*'3_Giả định'!$B$10</f>
        <v/>
      </c>
      <c r="W11" s="187">
        <f>W6*'3_Giả định'!$B$10</f>
        <v/>
      </c>
      <c r="X11" s="187">
        <f>X6*'3_Giả định'!$B$10</f>
        <v/>
      </c>
      <c r="Y11" s="187">
        <f>Y6*'3_Giả định'!$B$10</f>
        <v/>
      </c>
      <c r="Z11" s="187">
        <f>Z6*'3_Giả định'!$B$10</f>
        <v/>
      </c>
    </row>
    <row r="12" ht="15" customHeight="1" s="112">
      <c r="A12" s="158" t="inlineStr">
        <is>
          <t>Chi phí cố định</t>
        </is>
      </c>
      <c r="C12" s="187">
        <f>'3_Giả định'!$B$11</f>
        <v/>
      </c>
      <c r="D12" s="187">
        <f>'3_Giả định'!$B$11</f>
        <v/>
      </c>
      <c r="E12" s="187">
        <f>'3_Giả định'!$B$11</f>
        <v/>
      </c>
      <c r="F12" s="187">
        <f>'3_Giả định'!$B$11</f>
        <v/>
      </c>
      <c r="G12" s="187">
        <f>'3_Giả định'!$B$11</f>
        <v/>
      </c>
      <c r="H12" s="187">
        <f>'3_Giả định'!$B$11</f>
        <v/>
      </c>
      <c r="I12" s="187">
        <f>'3_Giả định'!$B$11</f>
        <v/>
      </c>
      <c r="J12" s="187">
        <f>'3_Giả định'!$B$11</f>
        <v/>
      </c>
      <c r="K12" s="187">
        <f>'3_Giả định'!$B$11</f>
        <v/>
      </c>
      <c r="L12" s="187">
        <f>'3_Giả định'!$B$11</f>
        <v/>
      </c>
      <c r="M12" s="187">
        <f>'3_Giả định'!$B$11</f>
        <v/>
      </c>
      <c r="N12" s="187">
        <f>'3_Giả định'!$B$11</f>
        <v/>
      </c>
      <c r="O12" s="187">
        <f>'3_Giả định'!$B$11</f>
        <v/>
      </c>
      <c r="P12" s="187">
        <f>'3_Giả định'!$B$11</f>
        <v/>
      </c>
      <c r="Q12" s="187">
        <f>'3_Giả định'!$B$11</f>
        <v/>
      </c>
      <c r="R12" s="187">
        <f>'3_Giả định'!$B$11</f>
        <v/>
      </c>
      <c r="S12" s="187">
        <f>'3_Giả định'!$B$11</f>
        <v/>
      </c>
      <c r="T12" s="187">
        <f>'3_Giả định'!$B$11</f>
        <v/>
      </c>
      <c r="U12" s="187">
        <f>'3_Giả định'!$B$11</f>
        <v/>
      </c>
      <c r="V12" s="187">
        <f>'3_Giả định'!$B$11</f>
        <v/>
      </c>
      <c r="W12" s="187">
        <f>'3_Giả định'!$B$11</f>
        <v/>
      </c>
      <c r="X12" s="187">
        <f>'3_Giả định'!$B$11</f>
        <v/>
      </c>
      <c r="Y12" s="187">
        <f>'3_Giả định'!$B$11</f>
        <v/>
      </c>
      <c r="Z12" s="187">
        <f>'3_Giả định'!$B$11</f>
        <v/>
      </c>
    </row>
    <row r="13" ht="15" customHeight="1" s="112">
      <c r="A13" s="158" t="inlineStr">
        <is>
          <t>Dòng tiền ròng</t>
        </is>
      </c>
      <c r="B13" s="187">
        <f>-'3_Giả định'!$B$12</f>
        <v/>
      </c>
      <c r="C13" s="187">
        <f>C10-C11-C12</f>
        <v/>
      </c>
      <c r="D13" s="187">
        <f>D10-D11-D12</f>
        <v/>
      </c>
      <c r="E13" s="187">
        <f>E10-E11-E12</f>
        <v/>
      </c>
      <c r="F13" s="187">
        <f>F10-F11-F12</f>
        <v/>
      </c>
      <c r="G13" s="187">
        <f>G10-G11-G12</f>
        <v/>
      </c>
      <c r="H13" s="187">
        <f>H10-H11-H12</f>
        <v/>
      </c>
      <c r="I13" s="187">
        <f>I10-I11-I12</f>
        <v/>
      </c>
      <c r="J13" s="187">
        <f>J10-J11-J12</f>
        <v/>
      </c>
      <c r="K13" s="187">
        <f>K10-K11-K12</f>
        <v/>
      </c>
      <c r="L13" s="187">
        <f>L10-L11-L12</f>
        <v/>
      </c>
      <c r="M13" s="187">
        <f>M10-M11-M12</f>
        <v/>
      </c>
      <c r="N13" s="187">
        <f>N10-N11-N12</f>
        <v/>
      </c>
      <c r="O13" s="187">
        <f>O10-O11-O12</f>
        <v/>
      </c>
      <c r="P13" s="187">
        <f>P10-P11-P12</f>
        <v/>
      </c>
      <c r="Q13" s="187">
        <f>Q10-Q11-Q12</f>
        <v/>
      </c>
      <c r="R13" s="187">
        <f>R10-R11-R12</f>
        <v/>
      </c>
      <c r="S13" s="187">
        <f>S10-S11-S12</f>
        <v/>
      </c>
      <c r="T13" s="187">
        <f>T10-T11-T12</f>
        <v/>
      </c>
      <c r="U13" s="187">
        <f>U10-U11-U12</f>
        <v/>
      </c>
      <c r="V13" s="187">
        <f>V10-V11-V12</f>
        <v/>
      </c>
      <c r="W13" s="187">
        <f>W10-W11-W12</f>
        <v/>
      </c>
      <c r="X13" s="187">
        <f>X10-X11-X12</f>
        <v/>
      </c>
      <c r="Y13" s="187">
        <f>Y10-Y11-Y12</f>
        <v/>
      </c>
      <c r="Z13" s="187">
        <f>Z10-Z11-Z12</f>
        <v/>
      </c>
    </row>
    <row r="14" ht="15" customHeight="1" s="112">
      <c r="A14" s="158" t="inlineStr">
        <is>
          <t>Tiền mặt cuối kỳ</t>
        </is>
      </c>
      <c r="B14" s="187">
        <f>'3_Giả định'!$B$13+B13</f>
        <v/>
      </c>
      <c r="C14" s="187">
        <f>B14+C13</f>
        <v/>
      </c>
      <c r="D14" s="187">
        <f>C14+D13</f>
        <v/>
      </c>
      <c r="E14" s="187">
        <f>D14+E13</f>
        <v/>
      </c>
      <c r="F14" s="187">
        <f>E14+F13</f>
        <v/>
      </c>
      <c r="G14" s="187">
        <f>F14+G13</f>
        <v/>
      </c>
      <c r="H14" s="187">
        <f>G14+H13</f>
        <v/>
      </c>
      <c r="I14" s="187">
        <f>H14+I13</f>
        <v/>
      </c>
      <c r="J14" s="187">
        <f>I14+J13</f>
        <v/>
      </c>
      <c r="K14" s="187">
        <f>J14+K13</f>
        <v/>
      </c>
      <c r="L14" s="187">
        <f>K14+L13</f>
        <v/>
      </c>
      <c r="M14" s="187">
        <f>L14+M13</f>
        <v/>
      </c>
      <c r="N14" s="187">
        <f>M14+N13</f>
        <v/>
      </c>
      <c r="O14" s="187">
        <f>N14+O13</f>
        <v/>
      </c>
      <c r="P14" s="187">
        <f>O14+P13</f>
        <v/>
      </c>
      <c r="Q14" s="187">
        <f>P14+Q13</f>
        <v/>
      </c>
      <c r="R14" s="187">
        <f>Q14+R13</f>
        <v/>
      </c>
      <c r="S14" s="187">
        <f>R14+S13</f>
        <v/>
      </c>
      <c r="T14" s="187">
        <f>S14+T13</f>
        <v/>
      </c>
      <c r="U14" s="187">
        <f>T14+U13</f>
        <v/>
      </c>
      <c r="V14" s="187">
        <f>U14+V13</f>
        <v/>
      </c>
      <c r="W14" s="187">
        <f>V14+W13</f>
        <v/>
      </c>
      <c r="X14" s="187">
        <f>W14+X13</f>
        <v/>
      </c>
      <c r="Y14" s="187">
        <f>X14+Y13</f>
        <v/>
      </c>
      <c r="Z14" s="187">
        <f>Y14+Z13</f>
        <v/>
      </c>
    </row>
    <row r="15" ht="15" customHeight="1" s="112">
      <c r="A15" s="158" t="inlineStr">
        <is>
          <t>Dòng tiền lũy kế của dự án</t>
        </is>
      </c>
      <c r="B15" s="187">
        <f>B13</f>
        <v/>
      </c>
      <c r="C15" s="187">
        <f>B15+C13</f>
        <v/>
      </c>
      <c r="D15" s="187">
        <f>C15+D13</f>
        <v/>
      </c>
      <c r="E15" s="187">
        <f>D15+E13</f>
        <v/>
      </c>
      <c r="F15" s="187">
        <f>E15+F13</f>
        <v/>
      </c>
      <c r="G15" s="187">
        <f>F15+G13</f>
        <v/>
      </c>
      <c r="H15" s="187">
        <f>G15+H13</f>
        <v/>
      </c>
      <c r="I15" s="187">
        <f>H15+I13</f>
        <v/>
      </c>
      <c r="J15" s="187">
        <f>I15+J13</f>
        <v/>
      </c>
      <c r="K15" s="187">
        <f>J15+K13</f>
        <v/>
      </c>
      <c r="L15" s="187">
        <f>K15+L13</f>
        <v/>
      </c>
      <c r="M15" s="187">
        <f>L15+M13</f>
        <v/>
      </c>
      <c r="N15" s="187">
        <f>M15+N13</f>
        <v/>
      </c>
      <c r="O15" s="187">
        <f>N15+O13</f>
        <v/>
      </c>
      <c r="P15" s="187">
        <f>O15+P13</f>
        <v/>
      </c>
      <c r="Q15" s="187">
        <f>P15+Q13</f>
        <v/>
      </c>
      <c r="R15" s="187">
        <f>Q15+R13</f>
        <v/>
      </c>
      <c r="S15" s="187">
        <f>R15+S13</f>
        <v/>
      </c>
      <c r="T15" s="187">
        <f>S15+T13</f>
        <v/>
      </c>
      <c r="U15" s="187">
        <f>T15+U13</f>
        <v/>
      </c>
      <c r="V15" s="187">
        <f>U15+V13</f>
        <v/>
      </c>
      <c r="W15" s="187">
        <f>V15+W13</f>
        <v/>
      </c>
      <c r="X15" s="187">
        <f>W15+X13</f>
        <v/>
      </c>
      <c r="Y15" s="187">
        <f>X15+Y13</f>
        <v/>
      </c>
      <c r="Z15" s="187">
        <f>Y15+Z13</f>
        <v/>
      </c>
    </row>
    <row r="17" ht="15" customHeight="1" s="112">
      <c r="A17" s="185" t="inlineStr">
        <is>
          <t>CƠ SỞ</t>
        </is>
      </c>
    </row>
    <row r="18" ht="15" customHeight="1" s="112">
      <c r="A18" s="158" t="inlineStr">
        <is>
          <t>Khách mới</t>
        </is>
      </c>
      <c r="C18" s="186">
        <f>'3_Giả định'!$C$7*(1+'3_Giả định'!$C$8)^0</f>
        <v/>
      </c>
      <c r="D18" s="186">
        <f>'3_Giả định'!$C$7*(1+'3_Giả định'!$C$8)^1</f>
        <v/>
      </c>
      <c r="E18" s="186">
        <f>'3_Giả định'!$C$7*(1+'3_Giả định'!$C$8)^2</f>
        <v/>
      </c>
      <c r="F18" s="186">
        <f>'3_Giả định'!$C$7*(1+'3_Giả định'!$C$8)^3</f>
        <v/>
      </c>
      <c r="G18" s="186">
        <f>'3_Giả định'!$C$7*(1+'3_Giả định'!$C$8)^4</f>
        <v/>
      </c>
      <c r="H18" s="186">
        <f>'3_Giả định'!$C$7*(1+'3_Giả định'!$C$8)^5</f>
        <v/>
      </c>
      <c r="I18" s="186">
        <f>'3_Giả định'!$C$7*(1+'3_Giả định'!$C$8)^6</f>
        <v/>
      </c>
      <c r="J18" s="186">
        <f>'3_Giả định'!$C$7*(1+'3_Giả định'!$C$8)^7</f>
        <v/>
      </c>
      <c r="K18" s="186">
        <f>'3_Giả định'!$C$7*(1+'3_Giả định'!$C$8)^8</f>
        <v/>
      </c>
      <c r="L18" s="186">
        <f>'3_Giả định'!$C$7*(1+'3_Giả định'!$C$8)^9</f>
        <v/>
      </c>
      <c r="M18" s="186">
        <f>'3_Giả định'!$C$7*(1+'3_Giả định'!$C$8)^10</f>
        <v/>
      </c>
      <c r="N18" s="186">
        <f>'3_Giả định'!$C$7*(1+'3_Giả định'!$C$8)^11</f>
        <v/>
      </c>
      <c r="O18" s="186">
        <f>'3_Giả định'!$C$7*(1+'3_Giả định'!$C$8)^12</f>
        <v/>
      </c>
      <c r="P18" s="186">
        <f>'3_Giả định'!$C$7*(1+'3_Giả định'!$C$8)^13</f>
        <v/>
      </c>
      <c r="Q18" s="186">
        <f>'3_Giả định'!$C$7*(1+'3_Giả định'!$C$8)^14</f>
        <v/>
      </c>
      <c r="R18" s="186">
        <f>'3_Giả định'!$C$7*(1+'3_Giả định'!$C$8)^15</f>
        <v/>
      </c>
      <c r="S18" s="186">
        <f>'3_Giả định'!$C$7*(1+'3_Giả định'!$C$8)^16</f>
        <v/>
      </c>
      <c r="T18" s="186">
        <f>'3_Giả định'!$C$7*(1+'3_Giả định'!$C$8)^17</f>
        <v/>
      </c>
      <c r="U18" s="186">
        <f>'3_Giả định'!$C$7*(1+'3_Giả định'!$C$8)^18</f>
        <v/>
      </c>
      <c r="V18" s="186">
        <f>'3_Giả định'!$C$7*(1+'3_Giả định'!$C$8)^19</f>
        <v/>
      </c>
      <c r="W18" s="186">
        <f>'3_Giả định'!$C$7*(1+'3_Giả định'!$C$8)^20</f>
        <v/>
      </c>
      <c r="X18" s="186">
        <f>'3_Giả định'!$C$7*(1+'3_Giả định'!$C$8)^21</f>
        <v/>
      </c>
      <c r="Y18" s="186">
        <f>'3_Giả định'!$C$7*(1+'3_Giả định'!$C$8)^22</f>
        <v/>
      </c>
      <c r="Z18" s="186">
        <f>'3_Giả định'!$C$7*(1+'3_Giả định'!$C$8)^23</f>
        <v/>
      </c>
    </row>
    <row r="19" ht="15" customHeight="1" s="112">
      <c r="A19" s="158" t="inlineStr">
        <is>
          <t>Khách đang dùng</t>
        </is>
      </c>
      <c r="B19" s="111" t="n">
        <v>0</v>
      </c>
      <c r="C19" s="186">
        <f>B19*(1-'3_Giả định'!$C$9)+C18</f>
        <v/>
      </c>
      <c r="D19" s="186">
        <f>C19*(1-'3_Giả định'!$C$9)+D18</f>
        <v/>
      </c>
      <c r="E19" s="186">
        <f>D19*(1-'3_Giả định'!$C$9)+E18</f>
        <v/>
      </c>
      <c r="F19" s="186">
        <f>E19*(1-'3_Giả định'!$C$9)+F18</f>
        <v/>
      </c>
      <c r="G19" s="186">
        <f>F19*(1-'3_Giả định'!$C$9)+G18</f>
        <v/>
      </c>
      <c r="H19" s="186">
        <f>G19*(1-'3_Giả định'!$C$9)+H18</f>
        <v/>
      </c>
      <c r="I19" s="186">
        <f>H19*(1-'3_Giả định'!$C$9)+I18</f>
        <v/>
      </c>
      <c r="J19" s="186">
        <f>I19*(1-'3_Giả định'!$C$9)+J18</f>
        <v/>
      </c>
      <c r="K19" s="186">
        <f>J19*(1-'3_Giả định'!$C$9)+K18</f>
        <v/>
      </c>
      <c r="L19" s="186">
        <f>K19*(1-'3_Giả định'!$C$9)+L18</f>
        <v/>
      </c>
      <c r="M19" s="186">
        <f>L19*(1-'3_Giả định'!$C$9)+M18</f>
        <v/>
      </c>
      <c r="N19" s="186">
        <f>M19*(1-'3_Giả định'!$C$9)+N18</f>
        <v/>
      </c>
      <c r="O19" s="186">
        <f>N19*(1-'3_Giả định'!$C$9)+O18</f>
        <v/>
      </c>
      <c r="P19" s="186">
        <f>O19*(1-'3_Giả định'!$C$9)+P18</f>
        <v/>
      </c>
      <c r="Q19" s="186">
        <f>P19*(1-'3_Giả định'!$C$9)+Q18</f>
        <v/>
      </c>
      <c r="R19" s="186">
        <f>Q19*(1-'3_Giả định'!$C$9)+R18</f>
        <v/>
      </c>
      <c r="S19" s="186">
        <f>R19*(1-'3_Giả định'!$C$9)+S18</f>
        <v/>
      </c>
      <c r="T19" s="186">
        <f>S19*(1-'3_Giả định'!$C$9)+T18</f>
        <v/>
      </c>
      <c r="U19" s="186">
        <f>T19*(1-'3_Giả định'!$C$9)+U18</f>
        <v/>
      </c>
      <c r="V19" s="186">
        <f>U19*(1-'3_Giả định'!$C$9)+V18</f>
        <v/>
      </c>
      <c r="W19" s="186">
        <f>V19*(1-'3_Giả định'!$C$9)+W18</f>
        <v/>
      </c>
      <c r="X19" s="186">
        <f>W19*(1-'3_Giả định'!$C$9)+X18</f>
        <v/>
      </c>
      <c r="Y19" s="186">
        <f>X19*(1-'3_Giả định'!$C$9)+Y18</f>
        <v/>
      </c>
      <c r="Z19" s="186">
        <f>Y19*(1-'3_Giả định'!$C$9)+Z18</f>
        <v/>
      </c>
    </row>
    <row r="20" ht="15" customHeight="1" s="112">
      <c r="A20" s="158" t="inlineStr">
        <is>
          <t>Doanh thu</t>
        </is>
      </c>
      <c r="C20" s="187">
        <f>C19*'3_Giả định'!$C$17</f>
        <v/>
      </c>
      <c r="D20" s="187">
        <f>D19*'3_Giả định'!$C$17</f>
        <v/>
      </c>
      <c r="E20" s="187">
        <f>E19*'3_Giả định'!$C$17</f>
        <v/>
      </c>
      <c r="F20" s="187">
        <f>F19*'3_Giả định'!$C$17</f>
        <v/>
      </c>
      <c r="G20" s="187">
        <f>G19*'3_Giả định'!$C$17</f>
        <v/>
      </c>
      <c r="H20" s="187">
        <f>H19*'3_Giả định'!$C$17</f>
        <v/>
      </c>
      <c r="I20" s="187">
        <f>I19*'3_Giả định'!$C$17</f>
        <v/>
      </c>
      <c r="J20" s="187">
        <f>J19*'3_Giả định'!$C$17</f>
        <v/>
      </c>
      <c r="K20" s="187">
        <f>K19*'3_Giả định'!$C$17</f>
        <v/>
      </c>
      <c r="L20" s="187">
        <f>L19*'3_Giả định'!$C$17</f>
        <v/>
      </c>
      <c r="M20" s="187">
        <f>M19*'3_Giả định'!$C$17</f>
        <v/>
      </c>
      <c r="N20" s="187">
        <f>N19*'3_Giả định'!$C$17</f>
        <v/>
      </c>
      <c r="O20" s="187">
        <f>O19*'3_Giả định'!$C$17</f>
        <v/>
      </c>
      <c r="P20" s="187">
        <f>P19*'3_Giả định'!$C$17</f>
        <v/>
      </c>
      <c r="Q20" s="187">
        <f>Q19*'3_Giả định'!$C$17</f>
        <v/>
      </c>
      <c r="R20" s="187">
        <f>R19*'3_Giả định'!$C$17</f>
        <v/>
      </c>
      <c r="S20" s="187">
        <f>S19*'3_Giả định'!$C$17</f>
        <v/>
      </c>
      <c r="T20" s="187">
        <f>T19*'3_Giả định'!$C$17</f>
        <v/>
      </c>
      <c r="U20" s="187">
        <f>U19*'3_Giả định'!$C$17</f>
        <v/>
      </c>
      <c r="V20" s="187">
        <f>V19*'3_Giả định'!$C$17</f>
        <v/>
      </c>
      <c r="W20" s="187">
        <f>W19*'3_Giả định'!$C$17</f>
        <v/>
      </c>
      <c r="X20" s="187">
        <f>X19*'3_Giả định'!$C$17</f>
        <v/>
      </c>
      <c r="Y20" s="187">
        <f>Y19*'3_Giả định'!$C$17</f>
        <v/>
      </c>
      <c r="Z20" s="187">
        <f>Z19*'3_Giả định'!$C$17</f>
        <v/>
      </c>
    </row>
    <row r="21" ht="15" customHeight="1" s="112">
      <c r="A21" s="158" t="inlineStr">
        <is>
          <t>Chi phí AI (giá vốn)</t>
        </is>
      </c>
      <c r="C21" s="187">
        <f>C19*'3_Giả định'!$C$18</f>
        <v/>
      </c>
      <c r="D21" s="187">
        <f>D19*'3_Giả định'!$C$18</f>
        <v/>
      </c>
      <c r="E21" s="187">
        <f>E19*'3_Giả định'!$C$18</f>
        <v/>
      </c>
      <c r="F21" s="187">
        <f>F19*'3_Giả định'!$C$18</f>
        <v/>
      </c>
      <c r="G21" s="187">
        <f>G19*'3_Giả định'!$C$18</f>
        <v/>
      </c>
      <c r="H21" s="187">
        <f>H19*'3_Giả định'!$C$18</f>
        <v/>
      </c>
      <c r="I21" s="187">
        <f>I19*'3_Giả định'!$C$18</f>
        <v/>
      </c>
      <c r="J21" s="187">
        <f>J19*'3_Giả định'!$C$18</f>
        <v/>
      </c>
      <c r="K21" s="187">
        <f>K19*'3_Giả định'!$C$18</f>
        <v/>
      </c>
      <c r="L21" s="187">
        <f>L19*'3_Giả định'!$C$18</f>
        <v/>
      </c>
      <c r="M21" s="187">
        <f>M19*'3_Giả định'!$C$18</f>
        <v/>
      </c>
      <c r="N21" s="187">
        <f>N19*'3_Giả định'!$C$18</f>
        <v/>
      </c>
      <c r="O21" s="187">
        <f>O19*'3_Giả định'!$C$18</f>
        <v/>
      </c>
      <c r="P21" s="187">
        <f>P19*'3_Giả định'!$C$18</f>
        <v/>
      </c>
      <c r="Q21" s="187">
        <f>Q19*'3_Giả định'!$C$18</f>
        <v/>
      </c>
      <c r="R21" s="187">
        <f>R19*'3_Giả định'!$C$18</f>
        <v/>
      </c>
      <c r="S21" s="187">
        <f>S19*'3_Giả định'!$C$18</f>
        <v/>
      </c>
      <c r="T21" s="187">
        <f>T19*'3_Giả định'!$C$18</f>
        <v/>
      </c>
      <c r="U21" s="187">
        <f>U19*'3_Giả định'!$C$18</f>
        <v/>
      </c>
      <c r="V21" s="187">
        <f>V19*'3_Giả định'!$C$18</f>
        <v/>
      </c>
      <c r="W21" s="187">
        <f>W19*'3_Giả định'!$C$18</f>
        <v/>
      </c>
      <c r="X21" s="187">
        <f>X19*'3_Giả định'!$C$18</f>
        <v/>
      </c>
      <c r="Y21" s="187">
        <f>Y19*'3_Giả định'!$C$18</f>
        <v/>
      </c>
      <c r="Z21" s="187">
        <f>Z19*'3_Giả định'!$C$18</f>
        <v/>
      </c>
    </row>
    <row r="22" ht="15" customHeight="1" s="112">
      <c r="A22" s="158" t="inlineStr">
        <is>
          <t>Lợi nhuận gộp</t>
        </is>
      </c>
      <c r="C22" s="187">
        <f>C20-C21</f>
        <v/>
      </c>
      <c r="D22" s="187">
        <f>D20-D21</f>
        <v/>
      </c>
      <c r="E22" s="187">
        <f>E20-E21</f>
        <v/>
      </c>
      <c r="F22" s="187">
        <f>F20-F21</f>
        <v/>
      </c>
      <c r="G22" s="187">
        <f>G20-G21</f>
        <v/>
      </c>
      <c r="H22" s="187">
        <f>H20-H21</f>
        <v/>
      </c>
      <c r="I22" s="187">
        <f>I20-I21</f>
        <v/>
      </c>
      <c r="J22" s="187">
        <f>J20-J21</f>
        <v/>
      </c>
      <c r="K22" s="187">
        <f>K20-K21</f>
        <v/>
      </c>
      <c r="L22" s="187">
        <f>L20-L21</f>
        <v/>
      </c>
      <c r="M22" s="187">
        <f>M20-M21</f>
        <v/>
      </c>
      <c r="N22" s="187">
        <f>N20-N21</f>
        <v/>
      </c>
      <c r="O22" s="187">
        <f>O20-O21</f>
        <v/>
      </c>
      <c r="P22" s="187">
        <f>P20-P21</f>
        <v/>
      </c>
      <c r="Q22" s="187">
        <f>Q20-Q21</f>
        <v/>
      </c>
      <c r="R22" s="187">
        <f>R20-R21</f>
        <v/>
      </c>
      <c r="S22" s="187">
        <f>S20-S21</f>
        <v/>
      </c>
      <c r="T22" s="187">
        <f>T20-T21</f>
        <v/>
      </c>
      <c r="U22" s="187">
        <f>U20-U21</f>
        <v/>
      </c>
      <c r="V22" s="187">
        <f>V20-V21</f>
        <v/>
      </c>
      <c r="W22" s="187">
        <f>W20-W21</f>
        <v/>
      </c>
      <c r="X22" s="187">
        <f>X20-X21</f>
        <v/>
      </c>
      <c r="Y22" s="187">
        <f>Y20-Y21</f>
        <v/>
      </c>
      <c r="Z22" s="187">
        <f>Z20-Z21</f>
        <v/>
      </c>
    </row>
    <row r="23" ht="15" customHeight="1" s="112">
      <c r="A23" s="158" t="inlineStr">
        <is>
          <t>Chi phí bán hàng (chi phí có khách × khách mới)</t>
        </is>
      </c>
      <c r="C23" s="187">
        <f>C18*'3_Giả định'!$C$10</f>
        <v/>
      </c>
      <c r="D23" s="187">
        <f>D18*'3_Giả định'!$C$10</f>
        <v/>
      </c>
      <c r="E23" s="187">
        <f>E18*'3_Giả định'!$C$10</f>
        <v/>
      </c>
      <c r="F23" s="187">
        <f>F18*'3_Giả định'!$C$10</f>
        <v/>
      </c>
      <c r="G23" s="187">
        <f>G18*'3_Giả định'!$C$10</f>
        <v/>
      </c>
      <c r="H23" s="187">
        <f>H18*'3_Giả định'!$C$10</f>
        <v/>
      </c>
      <c r="I23" s="187">
        <f>I18*'3_Giả định'!$C$10</f>
        <v/>
      </c>
      <c r="J23" s="187">
        <f>J18*'3_Giả định'!$C$10</f>
        <v/>
      </c>
      <c r="K23" s="187">
        <f>K18*'3_Giả định'!$C$10</f>
        <v/>
      </c>
      <c r="L23" s="187">
        <f>L18*'3_Giả định'!$C$10</f>
        <v/>
      </c>
      <c r="M23" s="187">
        <f>M18*'3_Giả định'!$C$10</f>
        <v/>
      </c>
      <c r="N23" s="187">
        <f>N18*'3_Giả định'!$C$10</f>
        <v/>
      </c>
      <c r="O23" s="187">
        <f>O18*'3_Giả định'!$C$10</f>
        <v/>
      </c>
      <c r="P23" s="187">
        <f>P18*'3_Giả định'!$C$10</f>
        <v/>
      </c>
      <c r="Q23" s="187">
        <f>Q18*'3_Giả định'!$C$10</f>
        <v/>
      </c>
      <c r="R23" s="187">
        <f>R18*'3_Giả định'!$C$10</f>
        <v/>
      </c>
      <c r="S23" s="187">
        <f>S18*'3_Giả định'!$C$10</f>
        <v/>
      </c>
      <c r="T23" s="187">
        <f>T18*'3_Giả định'!$C$10</f>
        <v/>
      </c>
      <c r="U23" s="187">
        <f>U18*'3_Giả định'!$C$10</f>
        <v/>
      </c>
      <c r="V23" s="187">
        <f>V18*'3_Giả định'!$C$10</f>
        <v/>
      </c>
      <c r="W23" s="187">
        <f>W18*'3_Giả định'!$C$10</f>
        <v/>
      </c>
      <c r="X23" s="187">
        <f>X18*'3_Giả định'!$C$10</f>
        <v/>
      </c>
      <c r="Y23" s="187">
        <f>Y18*'3_Giả định'!$C$10</f>
        <v/>
      </c>
      <c r="Z23" s="187">
        <f>Z18*'3_Giả định'!$C$10</f>
        <v/>
      </c>
    </row>
    <row r="24" ht="15" customHeight="1" s="112">
      <c r="A24" s="158" t="inlineStr">
        <is>
          <t>Chi phí cố định</t>
        </is>
      </c>
      <c r="C24" s="187">
        <f>'3_Giả định'!$C$11</f>
        <v/>
      </c>
      <c r="D24" s="187">
        <f>'3_Giả định'!$C$11</f>
        <v/>
      </c>
      <c r="E24" s="187">
        <f>'3_Giả định'!$C$11</f>
        <v/>
      </c>
      <c r="F24" s="187">
        <f>'3_Giả định'!$C$11</f>
        <v/>
      </c>
      <c r="G24" s="187">
        <f>'3_Giả định'!$C$11</f>
        <v/>
      </c>
      <c r="H24" s="187">
        <f>'3_Giả định'!$C$11</f>
        <v/>
      </c>
      <c r="I24" s="187">
        <f>'3_Giả định'!$C$11</f>
        <v/>
      </c>
      <c r="J24" s="187">
        <f>'3_Giả định'!$C$11</f>
        <v/>
      </c>
      <c r="K24" s="187">
        <f>'3_Giả định'!$C$11</f>
        <v/>
      </c>
      <c r="L24" s="187">
        <f>'3_Giả định'!$C$11</f>
        <v/>
      </c>
      <c r="M24" s="187">
        <f>'3_Giả định'!$C$11</f>
        <v/>
      </c>
      <c r="N24" s="187">
        <f>'3_Giả định'!$C$11</f>
        <v/>
      </c>
      <c r="O24" s="187">
        <f>'3_Giả định'!$C$11</f>
        <v/>
      </c>
      <c r="P24" s="187">
        <f>'3_Giả định'!$C$11</f>
        <v/>
      </c>
      <c r="Q24" s="187">
        <f>'3_Giả định'!$C$11</f>
        <v/>
      </c>
      <c r="R24" s="187">
        <f>'3_Giả định'!$C$11</f>
        <v/>
      </c>
      <c r="S24" s="187">
        <f>'3_Giả định'!$C$11</f>
        <v/>
      </c>
      <c r="T24" s="187">
        <f>'3_Giả định'!$C$11</f>
        <v/>
      </c>
      <c r="U24" s="187">
        <f>'3_Giả định'!$C$11</f>
        <v/>
      </c>
      <c r="V24" s="187">
        <f>'3_Giả định'!$C$11</f>
        <v/>
      </c>
      <c r="W24" s="187">
        <f>'3_Giả định'!$C$11</f>
        <v/>
      </c>
      <c r="X24" s="187">
        <f>'3_Giả định'!$C$11</f>
        <v/>
      </c>
      <c r="Y24" s="187">
        <f>'3_Giả định'!$C$11</f>
        <v/>
      </c>
      <c r="Z24" s="187">
        <f>'3_Giả định'!$C$11</f>
        <v/>
      </c>
    </row>
    <row r="25" ht="15" customHeight="1" s="112">
      <c r="A25" s="158" t="inlineStr">
        <is>
          <t>Dòng tiền ròng</t>
        </is>
      </c>
      <c r="B25" s="187">
        <f>-'3_Giả định'!$C$12</f>
        <v/>
      </c>
      <c r="C25" s="187">
        <f>C22-C23-C24</f>
        <v/>
      </c>
      <c r="D25" s="187">
        <f>D22-D23-D24</f>
        <v/>
      </c>
      <c r="E25" s="187">
        <f>E22-E23-E24</f>
        <v/>
      </c>
      <c r="F25" s="187">
        <f>F22-F23-F24</f>
        <v/>
      </c>
      <c r="G25" s="187">
        <f>G22-G23-G24</f>
        <v/>
      </c>
      <c r="H25" s="187">
        <f>H22-H23-H24</f>
        <v/>
      </c>
      <c r="I25" s="187">
        <f>I22-I23-I24</f>
        <v/>
      </c>
      <c r="J25" s="187">
        <f>J22-J23-J24</f>
        <v/>
      </c>
      <c r="K25" s="187">
        <f>K22-K23-K24</f>
        <v/>
      </c>
      <c r="L25" s="187">
        <f>L22-L23-L24</f>
        <v/>
      </c>
      <c r="M25" s="187">
        <f>M22-M23-M24</f>
        <v/>
      </c>
      <c r="N25" s="187">
        <f>N22-N23-N24</f>
        <v/>
      </c>
      <c r="O25" s="187">
        <f>O22-O23-O24</f>
        <v/>
      </c>
      <c r="P25" s="187">
        <f>P22-P23-P24</f>
        <v/>
      </c>
      <c r="Q25" s="187">
        <f>Q22-Q23-Q24</f>
        <v/>
      </c>
      <c r="R25" s="187">
        <f>R22-R23-R24</f>
        <v/>
      </c>
      <c r="S25" s="187">
        <f>S22-S23-S24</f>
        <v/>
      </c>
      <c r="T25" s="187">
        <f>T22-T23-T24</f>
        <v/>
      </c>
      <c r="U25" s="187">
        <f>U22-U23-U24</f>
        <v/>
      </c>
      <c r="V25" s="187">
        <f>V22-V23-V24</f>
        <v/>
      </c>
      <c r="W25" s="187">
        <f>W22-W23-W24</f>
        <v/>
      </c>
      <c r="X25" s="187">
        <f>X22-X23-X24</f>
        <v/>
      </c>
      <c r="Y25" s="187">
        <f>Y22-Y23-Y24</f>
        <v/>
      </c>
      <c r="Z25" s="187">
        <f>Z22-Z23-Z24</f>
        <v/>
      </c>
    </row>
    <row r="26" ht="15" customHeight="1" s="112">
      <c r="A26" s="158" t="inlineStr">
        <is>
          <t>Tiền mặt cuối kỳ</t>
        </is>
      </c>
      <c r="B26" s="187">
        <f>'3_Giả định'!$C$13+B25</f>
        <v/>
      </c>
      <c r="C26" s="187">
        <f>B26+C25</f>
        <v/>
      </c>
      <c r="D26" s="187">
        <f>C26+D25</f>
        <v/>
      </c>
      <c r="E26" s="187">
        <f>D26+E25</f>
        <v/>
      </c>
      <c r="F26" s="187">
        <f>E26+F25</f>
        <v/>
      </c>
      <c r="G26" s="187">
        <f>F26+G25</f>
        <v/>
      </c>
      <c r="H26" s="187">
        <f>G26+H25</f>
        <v/>
      </c>
      <c r="I26" s="187">
        <f>H26+I25</f>
        <v/>
      </c>
      <c r="J26" s="187">
        <f>I26+J25</f>
        <v/>
      </c>
      <c r="K26" s="187">
        <f>J26+K25</f>
        <v/>
      </c>
      <c r="L26" s="187">
        <f>K26+L25</f>
        <v/>
      </c>
      <c r="M26" s="187">
        <f>L26+M25</f>
        <v/>
      </c>
      <c r="N26" s="187">
        <f>M26+N25</f>
        <v/>
      </c>
      <c r="O26" s="187">
        <f>N26+O25</f>
        <v/>
      </c>
      <c r="P26" s="187">
        <f>O26+P25</f>
        <v/>
      </c>
      <c r="Q26" s="187">
        <f>P26+Q25</f>
        <v/>
      </c>
      <c r="R26" s="187">
        <f>Q26+R25</f>
        <v/>
      </c>
      <c r="S26" s="187">
        <f>R26+S25</f>
        <v/>
      </c>
      <c r="T26" s="187">
        <f>S26+T25</f>
        <v/>
      </c>
      <c r="U26" s="187">
        <f>T26+U25</f>
        <v/>
      </c>
      <c r="V26" s="187">
        <f>U26+V25</f>
        <v/>
      </c>
      <c r="W26" s="187">
        <f>V26+W25</f>
        <v/>
      </c>
      <c r="X26" s="187">
        <f>W26+X25</f>
        <v/>
      </c>
      <c r="Y26" s="187">
        <f>X26+Y25</f>
        <v/>
      </c>
      <c r="Z26" s="187">
        <f>Y26+Z25</f>
        <v/>
      </c>
    </row>
    <row r="27" ht="15" customHeight="1" s="112">
      <c r="A27" s="158" t="inlineStr">
        <is>
          <t>Dòng tiền lũy kế của dự án</t>
        </is>
      </c>
      <c r="B27" s="187">
        <f>B25</f>
        <v/>
      </c>
      <c r="C27" s="187">
        <f>B27+C25</f>
        <v/>
      </c>
      <c r="D27" s="187">
        <f>C27+D25</f>
        <v/>
      </c>
      <c r="E27" s="187">
        <f>D27+E25</f>
        <v/>
      </c>
      <c r="F27" s="187">
        <f>E27+F25</f>
        <v/>
      </c>
      <c r="G27" s="187">
        <f>F27+G25</f>
        <v/>
      </c>
      <c r="H27" s="187">
        <f>G27+H25</f>
        <v/>
      </c>
      <c r="I27" s="187">
        <f>H27+I25</f>
        <v/>
      </c>
      <c r="J27" s="187">
        <f>I27+J25</f>
        <v/>
      </c>
      <c r="K27" s="187">
        <f>J27+K25</f>
        <v/>
      </c>
      <c r="L27" s="187">
        <f>K27+L25</f>
        <v/>
      </c>
      <c r="M27" s="187">
        <f>L27+M25</f>
        <v/>
      </c>
      <c r="N27" s="187">
        <f>M27+N25</f>
        <v/>
      </c>
      <c r="O27" s="187">
        <f>N27+O25</f>
        <v/>
      </c>
      <c r="P27" s="187">
        <f>O27+P25</f>
        <v/>
      </c>
      <c r="Q27" s="187">
        <f>P27+Q25</f>
        <v/>
      </c>
      <c r="R27" s="187">
        <f>Q27+R25</f>
        <v/>
      </c>
      <c r="S27" s="187">
        <f>R27+S25</f>
        <v/>
      </c>
      <c r="T27" s="187">
        <f>S27+T25</f>
        <v/>
      </c>
      <c r="U27" s="187">
        <f>T27+U25</f>
        <v/>
      </c>
      <c r="V27" s="187">
        <f>U27+V25</f>
        <v/>
      </c>
      <c r="W27" s="187">
        <f>V27+W25</f>
        <v/>
      </c>
      <c r="X27" s="187">
        <f>W27+X25</f>
        <v/>
      </c>
      <c r="Y27" s="187">
        <f>X27+Y25</f>
        <v/>
      </c>
      <c r="Z27" s="187">
        <f>Y27+Z25</f>
        <v/>
      </c>
    </row>
    <row r="29" ht="15" customHeight="1" s="112">
      <c r="A29" s="185" t="inlineStr">
        <is>
          <t>XẤU</t>
        </is>
      </c>
    </row>
    <row r="30" ht="15" customHeight="1" s="112">
      <c r="A30" s="158" t="inlineStr">
        <is>
          <t>Khách mới</t>
        </is>
      </c>
      <c r="C30" s="186">
        <f>'3_Giả định'!$D$7*(1+'3_Giả định'!$D$8)^0</f>
        <v/>
      </c>
      <c r="D30" s="186">
        <f>'3_Giả định'!$D$7*(1+'3_Giả định'!$D$8)^1</f>
        <v/>
      </c>
      <c r="E30" s="186">
        <f>'3_Giả định'!$D$7*(1+'3_Giả định'!$D$8)^2</f>
        <v/>
      </c>
      <c r="F30" s="186">
        <f>'3_Giả định'!$D$7*(1+'3_Giả định'!$D$8)^3</f>
        <v/>
      </c>
      <c r="G30" s="186">
        <f>'3_Giả định'!$D$7*(1+'3_Giả định'!$D$8)^4</f>
        <v/>
      </c>
      <c r="H30" s="186">
        <f>'3_Giả định'!$D$7*(1+'3_Giả định'!$D$8)^5</f>
        <v/>
      </c>
      <c r="I30" s="186">
        <f>'3_Giả định'!$D$7*(1+'3_Giả định'!$D$8)^6</f>
        <v/>
      </c>
      <c r="J30" s="186">
        <f>'3_Giả định'!$D$7*(1+'3_Giả định'!$D$8)^7</f>
        <v/>
      </c>
      <c r="K30" s="186">
        <f>'3_Giả định'!$D$7*(1+'3_Giả định'!$D$8)^8</f>
        <v/>
      </c>
      <c r="L30" s="186">
        <f>'3_Giả định'!$D$7*(1+'3_Giả định'!$D$8)^9</f>
        <v/>
      </c>
      <c r="M30" s="186">
        <f>'3_Giả định'!$D$7*(1+'3_Giả định'!$D$8)^10</f>
        <v/>
      </c>
      <c r="N30" s="186">
        <f>'3_Giả định'!$D$7*(1+'3_Giả định'!$D$8)^11</f>
        <v/>
      </c>
      <c r="O30" s="186">
        <f>'3_Giả định'!$D$7*(1+'3_Giả định'!$D$8)^12</f>
        <v/>
      </c>
      <c r="P30" s="186">
        <f>'3_Giả định'!$D$7*(1+'3_Giả định'!$D$8)^13</f>
        <v/>
      </c>
      <c r="Q30" s="186">
        <f>'3_Giả định'!$D$7*(1+'3_Giả định'!$D$8)^14</f>
        <v/>
      </c>
      <c r="R30" s="186">
        <f>'3_Giả định'!$D$7*(1+'3_Giả định'!$D$8)^15</f>
        <v/>
      </c>
      <c r="S30" s="186">
        <f>'3_Giả định'!$D$7*(1+'3_Giả định'!$D$8)^16</f>
        <v/>
      </c>
      <c r="T30" s="186">
        <f>'3_Giả định'!$D$7*(1+'3_Giả định'!$D$8)^17</f>
        <v/>
      </c>
      <c r="U30" s="186">
        <f>'3_Giả định'!$D$7*(1+'3_Giả định'!$D$8)^18</f>
        <v/>
      </c>
      <c r="V30" s="186">
        <f>'3_Giả định'!$D$7*(1+'3_Giả định'!$D$8)^19</f>
        <v/>
      </c>
      <c r="W30" s="186">
        <f>'3_Giả định'!$D$7*(1+'3_Giả định'!$D$8)^20</f>
        <v/>
      </c>
      <c r="X30" s="186">
        <f>'3_Giả định'!$D$7*(1+'3_Giả định'!$D$8)^21</f>
        <v/>
      </c>
      <c r="Y30" s="186">
        <f>'3_Giả định'!$D$7*(1+'3_Giả định'!$D$8)^22</f>
        <v/>
      </c>
      <c r="Z30" s="186">
        <f>'3_Giả định'!$D$7*(1+'3_Giả định'!$D$8)^23</f>
        <v/>
      </c>
    </row>
    <row r="31" ht="15" customHeight="1" s="112">
      <c r="A31" s="158" t="inlineStr">
        <is>
          <t>Khách đang dùng</t>
        </is>
      </c>
      <c r="B31" s="111" t="n">
        <v>0</v>
      </c>
      <c r="C31" s="186">
        <f>B31*(1-'3_Giả định'!$D$9)+C30</f>
        <v/>
      </c>
      <c r="D31" s="186">
        <f>C31*(1-'3_Giả định'!$D$9)+D30</f>
        <v/>
      </c>
      <c r="E31" s="186">
        <f>D31*(1-'3_Giả định'!$D$9)+E30</f>
        <v/>
      </c>
      <c r="F31" s="186">
        <f>E31*(1-'3_Giả định'!$D$9)+F30</f>
        <v/>
      </c>
      <c r="G31" s="186">
        <f>F31*(1-'3_Giả định'!$D$9)+G30</f>
        <v/>
      </c>
      <c r="H31" s="186">
        <f>G31*(1-'3_Giả định'!$D$9)+H30</f>
        <v/>
      </c>
      <c r="I31" s="186">
        <f>H31*(1-'3_Giả định'!$D$9)+I30</f>
        <v/>
      </c>
      <c r="J31" s="186">
        <f>I31*(1-'3_Giả định'!$D$9)+J30</f>
        <v/>
      </c>
      <c r="K31" s="186">
        <f>J31*(1-'3_Giả định'!$D$9)+K30</f>
        <v/>
      </c>
      <c r="L31" s="186">
        <f>K31*(1-'3_Giả định'!$D$9)+L30</f>
        <v/>
      </c>
      <c r="M31" s="186">
        <f>L31*(1-'3_Giả định'!$D$9)+M30</f>
        <v/>
      </c>
      <c r="N31" s="186">
        <f>M31*(1-'3_Giả định'!$D$9)+N30</f>
        <v/>
      </c>
      <c r="O31" s="186">
        <f>N31*(1-'3_Giả định'!$D$9)+O30</f>
        <v/>
      </c>
      <c r="P31" s="186">
        <f>O31*(1-'3_Giả định'!$D$9)+P30</f>
        <v/>
      </c>
      <c r="Q31" s="186">
        <f>P31*(1-'3_Giả định'!$D$9)+Q30</f>
        <v/>
      </c>
      <c r="R31" s="186">
        <f>Q31*(1-'3_Giả định'!$D$9)+R30</f>
        <v/>
      </c>
      <c r="S31" s="186">
        <f>R31*(1-'3_Giả định'!$D$9)+S30</f>
        <v/>
      </c>
      <c r="T31" s="186">
        <f>S31*(1-'3_Giả định'!$D$9)+T30</f>
        <v/>
      </c>
      <c r="U31" s="186">
        <f>T31*(1-'3_Giả định'!$D$9)+U30</f>
        <v/>
      </c>
      <c r="V31" s="186">
        <f>U31*(1-'3_Giả định'!$D$9)+V30</f>
        <v/>
      </c>
      <c r="W31" s="186">
        <f>V31*(1-'3_Giả định'!$D$9)+W30</f>
        <v/>
      </c>
      <c r="X31" s="186">
        <f>W31*(1-'3_Giả định'!$D$9)+X30</f>
        <v/>
      </c>
      <c r="Y31" s="186">
        <f>X31*(1-'3_Giả định'!$D$9)+Y30</f>
        <v/>
      </c>
      <c r="Z31" s="186">
        <f>Y31*(1-'3_Giả định'!$D$9)+Z30</f>
        <v/>
      </c>
    </row>
    <row r="32" ht="15" customHeight="1" s="112">
      <c r="A32" s="158" t="inlineStr">
        <is>
          <t>Doanh thu</t>
        </is>
      </c>
      <c r="C32" s="187">
        <f>C31*'3_Giả định'!$D$17</f>
        <v/>
      </c>
      <c r="D32" s="187">
        <f>D31*'3_Giả định'!$D$17</f>
        <v/>
      </c>
      <c r="E32" s="187">
        <f>E31*'3_Giả định'!$D$17</f>
        <v/>
      </c>
      <c r="F32" s="187">
        <f>F31*'3_Giả định'!$D$17</f>
        <v/>
      </c>
      <c r="G32" s="187">
        <f>G31*'3_Giả định'!$D$17</f>
        <v/>
      </c>
      <c r="H32" s="187">
        <f>H31*'3_Giả định'!$D$17</f>
        <v/>
      </c>
      <c r="I32" s="187">
        <f>I31*'3_Giả định'!$D$17</f>
        <v/>
      </c>
      <c r="J32" s="187">
        <f>J31*'3_Giả định'!$D$17</f>
        <v/>
      </c>
      <c r="K32" s="187">
        <f>K31*'3_Giả định'!$D$17</f>
        <v/>
      </c>
      <c r="L32" s="187">
        <f>L31*'3_Giả định'!$D$17</f>
        <v/>
      </c>
      <c r="M32" s="187">
        <f>M31*'3_Giả định'!$D$17</f>
        <v/>
      </c>
      <c r="N32" s="187">
        <f>N31*'3_Giả định'!$D$17</f>
        <v/>
      </c>
      <c r="O32" s="187">
        <f>O31*'3_Giả định'!$D$17</f>
        <v/>
      </c>
      <c r="P32" s="187">
        <f>P31*'3_Giả định'!$D$17</f>
        <v/>
      </c>
      <c r="Q32" s="187">
        <f>Q31*'3_Giả định'!$D$17</f>
        <v/>
      </c>
      <c r="R32" s="187">
        <f>R31*'3_Giả định'!$D$17</f>
        <v/>
      </c>
      <c r="S32" s="187">
        <f>S31*'3_Giả định'!$D$17</f>
        <v/>
      </c>
      <c r="T32" s="187">
        <f>T31*'3_Giả định'!$D$17</f>
        <v/>
      </c>
      <c r="U32" s="187">
        <f>U31*'3_Giả định'!$D$17</f>
        <v/>
      </c>
      <c r="V32" s="187">
        <f>V31*'3_Giả định'!$D$17</f>
        <v/>
      </c>
      <c r="W32" s="187">
        <f>W31*'3_Giả định'!$D$17</f>
        <v/>
      </c>
      <c r="X32" s="187">
        <f>X31*'3_Giả định'!$D$17</f>
        <v/>
      </c>
      <c r="Y32" s="187">
        <f>Y31*'3_Giả định'!$D$17</f>
        <v/>
      </c>
      <c r="Z32" s="187">
        <f>Z31*'3_Giả định'!$D$17</f>
        <v/>
      </c>
    </row>
    <row r="33" ht="15" customHeight="1" s="112">
      <c r="A33" s="158" t="inlineStr">
        <is>
          <t>Chi phí AI (giá vốn)</t>
        </is>
      </c>
      <c r="C33" s="187">
        <f>C31*'3_Giả định'!$D$18</f>
        <v/>
      </c>
      <c r="D33" s="187">
        <f>D31*'3_Giả định'!$D$18</f>
        <v/>
      </c>
      <c r="E33" s="187">
        <f>E31*'3_Giả định'!$D$18</f>
        <v/>
      </c>
      <c r="F33" s="187">
        <f>F31*'3_Giả định'!$D$18</f>
        <v/>
      </c>
      <c r="G33" s="187">
        <f>G31*'3_Giả định'!$D$18</f>
        <v/>
      </c>
      <c r="H33" s="187">
        <f>H31*'3_Giả định'!$D$18</f>
        <v/>
      </c>
      <c r="I33" s="187">
        <f>I31*'3_Giả định'!$D$18</f>
        <v/>
      </c>
      <c r="J33" s="187">
        <f>J31*'3_Giả định'!$D$18</f>
        <v/>
      </c>
      <c r="K33" s="187">
        <f>K31*'3_Giả định'!$D$18</f>
        <v/>
      </c>
      <c r="L33" s="187">
        <f>L31*'3_Giả định'!$D$18</f>
        <v/>
      </c>
      <c r="M33" s="187">
        <f>M31*'3_Giả định'!$D$18</f>
        <v/>
      </c>
      <c r="N33" s="187">
        <f>N31*'3_Giả định'!$D$18</f>
        <v/>
      </c>
      <c r="O33" s="187">
        <f>O31*'3_Giả định'!$D$18</f>
        <v/>
      </c>
      <c r="P33" s="187">
        <f>P31*'3_Giả định'!$D$18</f>
        <v/>
      </c>
      <c r="Q33" s="187">
        <f>Q31*'3_Giả định'!$D$18</f>
        <v/>
      </c>
      <c r="R33" s="187">
        <f>R31*'3_Giả định'!$D$18</f>
        <v/>
      </c>
      <c r="S33" s="187">
        <f>S31*'3_Giả định'!$D$18</f>
        <v/>
      </c>
      <c r="T33" s="187">
        <f>T31*'3_Giả định'!$D$18</f>
        <v/>
      </c>
      <c r="U33" s="187">
        <f>U31*'3_Giả định'!$D$18</f>
        <v/>
      </c>
      <c r="V33" s="187">
        <f>V31*'3_Giả định'!$D$18</f>
        <v/>
      </c>
      <c r="W33" s="187">
        <f>W31*'3_Giả định'!$D$18</f>
        <v/>
      </c>
      <c r="X33" s="187">
        <f>X31*'3_Giả định'!$D$18</f>
        <v/>
      </c>
      <c r="Y33" s="187">
        <f>Y31*'3_Giả định'!$D$18</f>
        <v/>
      </c>
      <c r="Z33" s="187">
        <f>Z31*'3_Giả định'!$D$18</f>
        <v/>
      </c>
    </row>
    <row r="34" ht="15" customHeight="1" s="112">
      <c r="A34" s="158" t="inlineStr">
        <is>
          <t>Lợi nhuận gộp</t>
        </is>
      </c>
      <c r="C34" s="187">
        <f>C32-C33</f>
        <v/>
      </c>
      <c r="D34" s="187">
        <f>D32-D33</f>
        <v/>
      </c>
      <c r="E34" s="187">
        <f>E32-E33</f>
        <v/>
      </c>
      <c r="F34" s="187">
        <f>F32-F33</f>
        <v/>
      </c>
      <c r="G34" s="187">
        <f>G32-G33</f>
        <v/>
      </c>
      <c r="H34" s="187">
        <f>H32-H33</f>
        <v/>
      </c>
      <c r="I34" s="187">
        <f>I32-I33</f>
        <v/>
      </c>
      <c r="J34" s="187">
        <f>J32-J33</f>
        <v/>
      </c>
      <c r="K34" s="187">
        <f>K32-K33</f>
        <v/>
      </c>
      <c r="L34" s="187">
        <f>L32-L33</f>
        <v/>
      </c>
      <c r="M34" s="187">
        <f>M32-M33</f>
        <v/>
      </c>
      <c r="N34" s="187">
        <f>N32-N33</f>
        <v/>
      </c>
      <c r="O34" s="187">
        <f>O32-O33</f>
        <v/>
      </c>
      <c r="P34" s="187">
        <f>P32-P33</f>
        <v/>
      </c>
      <c r="Q34" s="187">
        <f>Q32-Q33</f>
        <v/>
      </c>
      <c r="R34" s="187">
        <f>R32-R33</f>
        <v/>
      </c>
      <c r="S34" s="187">
        <f>S32-S33</f>
        <v/>
      </c>
      <c r="T34" s="187">
        <f>T32-T33</f>
        <v/>
      </c>
      <c r="U34" s="187">
        <f>U32-U33</f>
        <v/>
      </c>
      <c r="V34" s="187">
        <f>V32-V33</f>
        <v/>
      </c>
      <c r="W34" s="187">
        <f>W32-W33</f>
        <v/>
      </c>
      <c r="X34" s="187">
        <f>X32-X33</f>
        <v/>
      </c>
      <c r="Y34" s="187">
        <f>Y32-Y33</f>
        <v/>
      </c>
      <c r="Z34" s="187">
        <f>Z32-Z33</f>
        <v/>
      </c>
    </row>
    <row r="35" ht="15" customHeight="1" s="112">
      <c r="A35" s="158" t="inlineStr">
        <is>
          <t>Chi phí bán hàng (chi phí có khách × khách mới)</t>
        </is>
      </c>
      <c r="C35" s="187">
        <f>C30*'3_Giả định'!$D$10</f>
        <v/>
      </c>
      <c r="D35" s="187">
        <f>D30*'3_Giả định'!$D$10</f>
        <v/>
      </c>
      <c r="E35" s="187">
        <f>E30*'3_Giả định'!$D$10</f>
        <v/>
      </c>
      <c r="F35" s="187">
        <f>F30*'3_Giả định'!$D$10</f>
        <v/>
      </c>
      <c r="G35" s="187">
        <f>G30*'3_Giả định'!$D$10</f>
        <v/>
      </c>
      <c r="H35" s="187">
        <f>H30*'3_Giả định'!$D$10</f>
        <v/>
      </c>
      <c r="I35" s="187">
        <f>I30*'3_Giả định'!$D$10</f>
        <v/>
      </c>
      <c r="J35" s="187">
        <f>J30*'3_Giả định'!$D$10</f>
        <v/>
      </c>
      <c r="K35" s="187">
        <f>K30*'3_Giả định'!$D$10</f>
        <v/>
      </c>
      <c r="L35" s="187">
        <f>L30*'3_Giả định'!$D$10</f>
        <v/>
      </c>
      <c r="M35" s="187">
        <f>M30*'3_Giả định'!$D$10</f>
        <v/>
      </c>
      <c r="N35" s="187">
        <f>N30*'3_Giả định'!$D$10</f>
        <v/>
      </c>
      <c r="O35" s="187">
        <f>O30*'3_Giả định'!$D$10</f>
        <v/>
      </c>
      <c r="P35" s="187">
        <f>P30*'3_Giả định'!$D$10</f>
        <v/>
      </c>
      <c r="Q35" s="187">
        <f>Q30*'3_Giả định'!$D$10</f>
        <v/>
      </c>
      <c r="R35" s="187">
        <f>R30*'3_Giả định'!$D$10</f>
        <v/>
      </c>
      <c r="S35" s="187">
        <f>S30*'3_Giả định'!$D$10</f>
        <v/>
      </c>
      <c r="T35" s="187">
        <f>T30*'3_Giả định'!$D$10</f>
        <v/>
      </c>
      <c r="U35" s="187">
        <f>U30*'3_Giả định'!$D$10</f>
        <v/>
      </c>
      <c r="V35" s="187">
        <f>V30*'3_Giả định'!$D$10</f>
        <v/>
      </c>
      <c r="W35" s="187">
        <f>W30*'3_Giả định'!$D$10</f>
        <v/>
      </c>
      <c r="X35" s="187">
        <f>X30*'3_Giả định'!$D$10</f>
        <v/>
      </c>
      <c r="Y35" s="187">
        <f>Y30*'3_Giả định'!$D$10</f>
        <v/>
      </c>
      <c r="Z35" s="187">
        <f>Z30*'3_Giả định'!$D$10</f>
        <v/>
      </c>
    </row>
    <row r="36" ht="15" customHeight="1" s="112">
      <c r="A36" s="158" t="inlineStr">
        <is>
          <t>Chi phí cố định</t>
        </is>
      </c>
      <c r="C36" s="187">
        <f>'3_Giả định'!$D$11</f>
        <v/>
      </c>
      <c r="D36" s="187">
        <f>'3_Giả định'!$D$11</f>
        <v/>
      </c>
      <c r="E36" s="187">
        <f>'3_Giả định'!$D$11</f>
        <v/>
      </c>
      <c r="F36" s="187">
        <f>'3_Giả định'!$D$11</f>
        <v/>
      </c>
      <c r="G36" s="187">
        <f>'3_Giả định'!$D$11</f>
        <v/>
      </c>
      <c r="H36" s="187">
        <f>'3_Giả định'!$D$11</f>
        <v/>
      </c>
      <c r="I36" s="187">
        <f>'3_Giả định'!$D$11</f>
        <v/>
      </c>
      <c r="J36" s="187">
        <f>'3_Giả định'!$D$11</f>
        <v/>
      </c>
      <c r="K36" s="187">
        <f>'3_Giả định'!$D$11</f>
        <v/>
      </c>
      <c r="L36" s="187">
        <f>'3_Giả định'!$D$11</f>
        <v/>
      </c>
      <c r="M36" s="187">
        <f>'3_Giả định'!$D$11</f>
        <v/>
      </c>
      <c r="N36" s="187">
        <f>'3_Giả định'!$D$11</f>
        <v/>
      </c>
      <c r="O36" s="187">
        <f>'3_Giả định'!$D$11</f>
        <v/>
      </c>
      <c r="P36" s="187">
        <f>'3_Giả định'!$D$11</f>
        <v/>
      </c>
      <c r="Q36" s="187">
        <f>'3_Giả định'!$D$11</f>
        <v/>
      </c>
      <c r="R36" s="187">
        <f>'3_Giả định'!$D$11</f>
        <v/>
      </c>
      <c r="S36" s="187">
        <f>'3_Giả định'!$D$11</f>
        <v/>
      </c>
      <c r="T36" s="187">
        <f>'3_Giả định'!$D$11</f>
        <v/>
      </c>
      <c r="U36" s="187">
        <f>'3_Giả định'!$D$11</f>
        <v/>
      </c>
      <c r="V36" s="187">
        <f>'3_Giả định'!$D$11</f>
        <v/>
      </c>
      <c r="W36" s="187">
        <f>'3_Giả định'!$D$11</f>
        <v/>
      </c>
      <c r="X36" s="187">
        <f>'3_Giả định'!$D$11</f>
        <v/>
      </c>
      <c r="Y36" s="187">
        <f>'3_Giả định'!$D$11</f>
        <v/>
      </c>
      <c r="Z36" s="187">
        <f>'3_Giả định'!$D$11</f>
        <v/>
      </c>
    </row>
    <row r="37" ht="15" customHeight="1" s="112">
      <c r="A37" s="158" t="inlineStr">
        <is>
          <t>Dòng tiền ròng</t>
        </is>
      </c>
      <c r="B37" s="187">
        <f>-'3_Giả định'!$D$12</f>
        <v/>
      </c>
      <c r="C37" s="187">
        <f>C34-C35-C36</f>
        <v/>
      </c>
      <c r="D37" s="187">
        <f>D34-D35-D36</f>
        <v/>
      </c>
      <c r="E37" s="187">
        <f>E34-E35-E36</f>
        <v/>
      </c>
      <c r="F37" s="187">
        <f>F34-F35-F36</f>
        <v/>
      </c>
      <c r="G37" s="187">
        <f>G34-G35-G36</f>
        <v/>
      </c>
      <c r="H37" s="187">
        <f>H34-H35-H36</f>
        <v/>
      </c>
      <c r="I37" s="187">
        <f>I34-I35-I36</f>
        <v/>
      </c>
      <c r="J37" s="187">
        <f>J34-J35-J36</f>
        <v/>
      </c>
      <c r="K37" s="187">
        <f>K34-K35-K36</f>
        <v/>
      </c>
      <c r="L37" s="187">
        <f>L34-L35-L36</f>
        <v/>
      </c>
      <c r="M37" s="187">
        <f>M34-M35-M36</f>
        <v/>
      </c>
      <c r="N37" s="187">
        <f>N34-N35-N36</f>
        <v/>
      </c>
      <c r="O37" s="187">
        <f>O34-O35-O36</f>
        <v/>
      </c>
      <c r="P37" s="187">
        <f>P34-P35-P36</f>
        <v/>
      </c>
      <c r="Q37" s="187">
        <f>Q34-Q35-Q36</f>
        <v/>
      </c>
      <c r="R37" s="187">
        <f>R34-R35-R36</f>
        <v/>
      </c>
      <c r="S37" s="187">
        <f>S34-S35-S36</f>
        <v/>
      </c>
      <c r="T37" s="187">
        <f>T34-T35-T36</f>
        <v/>
      </c>
      <c r="U37" s="187">
        <f>U34-U35-U36</f>
        <v/>
      </c>
      <c r="V37" s="187">
        <f>V34-V35-V36</f>
        <v/>
      </c>
      <c r="W37" s="187">
        <f>W34-W35-W36</f>
        <v/>
      </c>
      <c r="X37" s="187">
        <f>X34-X35-X36</f>
        <v/>
      </c>
      <c r="Y37" s="187">
        <f>Y34-Y35-Y36</f>
        <v/>
      </c>
      <c r="Z37" s="187">
        <f>Z34-Z35-Z36</f>
        <v/>
      </c>
    </row>
    <row r="38" ht="15" customHeight="1" s="112">
      <c r="A38" s="158" t="inlineStr">
        <is>
          <t>Tiền mặt cuối kỳ</t>
        </is>
      </c>
      <c r="B38" s="187">
        <f>'3_Giả định'!$D$13+B37</f>
        <v/>
      </c>
      <c r="C38" s="187">
        <f>B38+C37</f>
        <v/>
      </c>
      <c r="D38" s="187">
        <f>C38+D37</f>
        <v/>
      </c>
      <c r="E38" s="187">
        <f>D38+E37</f>
        <v/>
      </c>
      <c r="F38" s="187">
        <f>E38+F37</f>
        <v/>
      </c>
      <c r="G38" s="187">
        <f>F38+G37</f>
        <v/>
      </c>
      <c r="H38" s="187">
        <f>G38+H37</f>
        <v/>
      </c>
      <c r="I38" s="187">
        <f>H38+I37</f>
        <v/>
      </c>
      <c r="J38" s="187">
        <f>I38+J37</f>
        <v/>
      </c>
      <c r="K38" s="187">
        <f>J38+K37</f>
        <v/>
      </c>
      <c r="L38" s="187">
        <f>K38+L37</f>
        <v/>
      </c>
      <c r="M38" s="187">
        <f>L38+M37</f>
        <v/>
      </c>
      <c r="N38" s="187">
        <f>M38+N37</f>
        <v/>
      </c>
      <c r="O38" s="187">
        <f>N38+O37</f>
        <v/>
      </c>
      <c r="P38" s="187">
        <f>O38+P37</f>
        <v/>
      </c>
      <c r="Q38" s="187">
        <f>P38+Q37</f>
        <v/>
      </c>
      <c r="R38" s="187">
        <f>Q38+R37</f>
        <v/>
      </c>
      <c r="S38" s="187">
        <f>R38+S37</f>
        <v/>
      </c>
      <c r="T38" s="187">
        <f>S38+T37</f>
        <v/>
      </c>
      <c r="U38" s="187">
        <f>T38+U37</f>
        <v/>
      </c>
      <c r="V38" s="187">
        <f>U38+V37</f>
        <v/>
      </c>
      <c r="W38" s="187">
        <f>V38+W37</f>
        <v/>
      </c>
      <c r="X38" s="187">
        <f>W38+X37</f>
        <v/>
      </c>
      <c r="Y38" s="187">
        <f>X38+Y37</f>
        <v/>
      </c>
      <c r="Z38" s="187">
        <f>Y38+Z37</f>
        <v/>
      </c>
    </row>
    <row r="39" ht="15" customHeight="1" s="112">
      <c r="A39" s="158" t="inlineStr">
        <is>
          <t>Dòng tiền lũy kế của dự án</t>
        </is>
      </c>
      <c r="B39" s="187">
        <f>B37</f>
        <v/>
      </c>
      <c r="C39" s="187">
        <f>B39+C37</f>
        <v/>
      </c>
      <c r="D39" s="187">
        <f>C39+D37</f>
        <v/>
      </c>
      <c r="E39" s="187">
        <f>D39+E37</f>
        <v/>
      </c>
      <c r="F39" s="187">
        <f>E39+F37</f>
        <v/>
      </c>
      <c r="G39" s="187">
        <f>F39+G37</f>
        <v/>
      </c>
      <c r="H39" s="187">
        <f>G39+H37</f>
        <v/>
      </c>
      <c r="I39" s="187">
        <f>H39+I37</f>
        <v/>
      </c>
      <c r="J39" s="187">
        <f>I39+J37</f>
        <v/>
      </c>
      <c r="K39" s="187">
        <f>J39+K37</f>
        <v/>
      </c>
      <c r="L39" s="187">
        <f>K39+L37</f>
        <v/>
      </c>
      <c r="M39" s="187">
        <f>L39+M37</f>
        <v/>
      </c>
      <c r="N39" s="187">
        <f>M39+N37</f>
        <v/>
      </c>
      <c r="O39" s="187">
        <f>N39+O37</f>
        <v/>
      </c>
      <c r="P39" s="187">
        <f>O39+P37</f>
        <v/>
      </c>
      <c r="Q39" s="187">
        <f>P39+Q37</f>
        <v/>
      </c>
      <c r="R39" s="187">
        <f>Q39+R37</f>
        <v/>
      </c>
      <c r="S39" s="187">
        <f>R39+S37</f>
        <v/>
      </c>
      <c r="T39" s="187">
        <f>S39+T37</f>
        <v/>
      </c>
      <c r="U39" s="187">
        <f>T39+U37</f>
        <v/>
      </c>
      <c r="V39" s="187">
        <f>U39+V37</f>
        <v/>
      </c>
      <c r="W39" s="187">
        <f>V39+W37</f>
        <v/>
      </c>
      <c r="X39" s="187">
        <f>W39+X37</f>
        <v/>
      </c>
      <c r="Y39" s="187">
        <f>X39+Y37</f>
        <v/>
      </c>
      <c r="Z39" s="187">
        <f>Y39+Z37</f>
        <v/>
      </c>
    </row>
    <row r="42" ht="15" customHeight="1" s="112">
      <c r="A42" s="188" t="inlineStr">
        <is>
          <t>TÓM TẮT HIỆU QUẢ ĐẦU TƯ</t>
        </is>
      </c>
    </row>
    <row r="43" ht="26.25" customHeight="1" s="112">
      <c r="A43" s="125" t="inlineStr">
        <is>
          <t>Chỉ số</t>
        </is>
      </c>
      <c r="B43" s="125" t="inlineStr">
        <is>
          <t>Lạc quan</t>
        </is>
      </c>
      <c r="C43" s="125" t="inlineStr">
        <is>
          <t>Cơ sở</t>
        </is>
      </c>
      <c r="D43" s="125" t="inlineStr">
        <is>
          <t>Xấu</t>
        </is>
      </c>
      <c r="E43" s="125" t="inlineStr">
        <is>
          <t>Ngưỡng tham khảo</t>
        </is>
      </c>
    </row>
    <row r="44" ht="31.5" customHeight="1" s="112">
      <c r="A44" s="122" t="inlineStr">
        <is>
          <t>Giá trị hiện tại ròng 24 tháng (đồng; lớn hơn 0 là đáng làm)</t>
        </is>
      </c>
      <c r="B44" s="159">
        <f>B13+NPV('3_Giả định'!$B$14/12,C13:Z13)</f>
        <v/>
      </c>
      <c r="C44" s="159">
        <f>B25+NPV('3_Giả định'!$C$14/12,C25:Z25)</f>
        <v/>
      </c>
      <c r="D44" s="159">
        <f>B37+NPV('3_Giả định'!$D$14/12,C37:Z37)</f>
        <v/>
      </c>
      <c r="E44" s="111" t="inlineStr">
        <is>
          <t>&gt; 0</t>
        </is>
      </c>
    </row>
    <row r="45" ht="15" customHeight="1" s="112">
      <c r="A45" s="158" t="inlineStr">
        <is>
          <t>Tỷ suất hoàn vốn nội bộ (IRR, quy ra năm)</t>
        </is>
      </c>
      <c r="B45" s="161">
        <f>IFERROR((1+IRR(B13:Z13,0.01))^12-1,"Không tính được")</f>
        <v/>
      </c>
      <c r="C45" s="161">
        <f>IFERROR((1+IRR(B25:Z25,0.01))^12-1,"Không tính được")</f>
        <v/>
      </c>
      <c r="D45" s="161">
        <f>IFERROR((1+IRR(B37:Z37,0.01))^12-1,"Không tính được")</f>
        <v/>
      </c>
      <c r="E45" s="111" t="inlineStr">
        <is>
          <t>&gt; chi phí vốn</t>
        </is>
      </c>
      <c r="F45" s="162" t="inlineStr">
        <is>
          <t>Lãi suất làm giá trị hiện tại ròng bằng 0; so với chi phí vốn 15%. Số rất lớn ở kịch bản lạc quan là do vốn quay về nhanh — chỉ dùng để so sánh, không đọc như lợi nhuận.</t>
        </is>
      </c>
    </row>
    <row r="46" ht="15" customHeight="1" s="112">
      <c r="A46" s="158" t="inlineStr">
        <is>
          <t>Tiền mặt thấp nhất</t>
        </is>
      </c>
      <c r="B46" s="159">
        <f>MIN(B14:Z14)</f>
        <v/>
      </c>
      <c r="C46" s="159">
        <f>MIN(B26:Z26)</f>
        <v/>
      </c>
      <c r="D46" s="159">
        <f>MIN(B38:Z38)</f>
        <v/>
      </c>
      <c r="E46" s="111" t="inlineStr">
        <is>
          <t>&gt; 0</t>
        </is>
      </c>
    </row>
    <row r="47" ht="15" customHeight="1" s="112">
      <c r="A47" s="158" t="inlineStr">
        <is>
          <t>Tháng hết tiền</t>
        </is>
      </c>
      <c r="B47" s="189">
        <f>IF('3_Giả định'!B7=0,"Chưa điền",IFERROR(MATCH(TRUE(),INDEX(C14:Z14&lt;0,0),0),"Không hết tiền trong 24 tháng"))</f>
        <v/>
      </c>
      <c r="C47" s="189">
        <f>IF('3_Giả định'!C7=0,"Chưa điền",IFERROR(MATCH(TRUE(),INDEX(C26:Z26&lt;0,0),0),"Không hết tiền trong 24 tháng"))</f>
        <v/>
      </c>
      <c r="D47" s="189">
        <f>IF('3_Giả định'!D7=0,"Chưa điền",IFERROR(MATCH(TRUE(),INDEX(C38:Z38&lt;0,0),0),"Không hết tiền trong 24 tháng"))</f>
        <v/>
      </c>
      <c r="E47" s="111" t="inlineStr">
        <is>
          <t>Không hết trong 12 tháng đầu</t>
        </is>
      </c>
      <c r="F47" s="162" t="inlineStr">
        <is>
          <t>Chỉ báo khi tiền mặt âm trong 24 tháng. Kịch bản cơ sở có thể luôn "Không hết tiền" — khi thử độ nhạy, hãy nhìn giá trị hiện tại ròng.</t>
        </is>
      </c>
    </row>
    <row r="48" ht="15" customHeight="1" s="112">
      <c r="A48" s="158" t="inlineStr">
        <is>
          <t>Hoàn vốn dự án</t>
        </is>
      </c>
      <c r="B48" s="189">
        <f>IF('3_Giả định'!B7=0,"Chưa điền",IFERROR(MATCH(TRUE(),INDEX(C15:Z15&gt;=0,0),0),"Chưa hoàn vốn trong 24 tháng"))</f>
        <v/>
      </c>
      <c r="C48" s="189">
        <f>IF('3_Giả định'!C7=0,"Chưa điền",IFERROR(MATCH(TRUE(),INDEX(C27:Z27&gt;=0,0),0),"Chưa hoàn vốn trong 24 tháng"))</f>
        <v/>
      </c>
      <c r="D48" s="189">
        <f>IF('3_Giả định'!D7=0,"Chưa điền",IFERROR(MATCH(TRUE(),INDEX(C39:Z39&gt;=0,0),0),"Chưa hoàn vốn trong 24 tháng"))</f>
        <v/>
      </c>
      <c r="E48" s="111" t="inlineStr">
        <is>
          <t>&lt; 24 tháng</t>
        </is>
      </c>
    </row>
    <row r="49" ht="15" customHeight="1" s="112">
      <c r="A49" s="158" t="inlineStr">
        <is>
          <t>Khách đang dùng tháng 24</t>
        </is>
      </c>
      <c r="B49" s="169">
        <f>Z7</f>
        <v/>
      </c>
      <c r="C49" s="169">
        <f>Z19</f>
        <v/>
      </c>
      <c r="D49" s="169">
        <f>Z31</f>
        <v/>
      </c>
    </row>
    <row r="50" ht="15" customHeight="1" s="112">
      <c r="A50" s="158" t="inlineStr">
        <is>
          <t>Doanh thu tháng 24</t>
        </is>
      </c>
      <c r="B50" s="159">
        <f>Z8</f>
        <v/>
      </c>
      <c r="C50" s="159">
        <f>Z20</f>
        <v/>
      </c>
      <c r="D50" s="159">
        <f>Z32</f>
        <v/>
      </c>
    </row>
    <row r="53" ht="15" customHeight="1" s="112">
      <c r="A53" s="188" t="inlineStr">
        <is>
          <t>BẢNG ĐỘ NHẠY (kịch bản cơ sở): làm xấu từng biến, mỗi lần một biến</t>
        </is>
      </c>
    </row>
    <row r="54" ht="15" customHeight="1" s="112">
      <c r="A54" s="190" t="inlineStr">
        <is>
          <t>Mức làm xấu</t>
        </is>
      </c>
      <c r="B54" s="191" t="n">
        <v>0.2</v>
      </c>
      <c r="C54" s="162" t="inlineStr">
        <is>
          <t>Có thể đổi thành 10% hoặc 30% để thử</t>
        </is>
      </c>
    </row>
    <row r="56" ht="45" customHeight="1" s="112">
      <c r="A56" s="192" t="inlineStr">
        <is>
          <t>Biến làm xấu</t>
        </is>
      </c>
      <c r="B56" s="193" t="inlineStr">
        <is>
          <t>Giá trị cơ sở</t>
        </is>
      </c>
      <c r="C56" s="193" t="inlineStr">
        <is>
          <t>Giá trị sau khi làm xấu</t>
        </is>
      </c>
      <c r="D56" s="193" t="inlineStr">
        <is>
          <t>Giá trị hiện tại ròng 24 tháng (triệu đồng)</t>
        </is>
      </c>
      <c r="E56" s="193" t="inlineStr">
        <is>
          <t>Chênh lệch so với cơ sở (triệu đồng)</t>
        </is>
      </c>
      <c r="F56" s="193" t="inlineStr">
        <is>
          <t>Tháng hết tiền</t>
        </is>
      </c>
      <c r="G56" s="193" t="inlineStr">
        <is>
          <t>Tháng hoàn vốn</t>
        </is>
      </c>
      <c r="H56" s="193" t="inlineStr">
        <is>
          <t>Mức nguy hiểm (1 = nhất)</t>
        </is>
      </c>
    </row>
    <row r="57" ht="27.75" customHeight="1" s="112">
      <c r="A57" s="116" t="inlineStr">
        <is>
          <t>Không đổi (cơ sở)</t>
        </is>
      </c>
      <c r="B57" s="194" t="inlineStr">
        <is>
          <t>—</t>
        </is>
      </c>
      <c r="C57" s="194" t="inlineStr">
        <is>
          <t>—</t>
        </is>
      </c>
      <c r="D57" s="195">
        <f>(B94+NPV($K$80/12,C94:Z94))/1000000</f>
        <v/>
      </c>
      <c r="E57" s="194" t="inlineStr">
        <is>
          <t>—</t>
        </is>
      </c>
      <c r="F57" s="196">
        <f>IFERROR(MATCH(TRUE(),INDEX(C95:Z95&lt;0,0),0),"Không hết tiền trong 24 tháng")</f>
        <v/>
      </c>
      <c r="G57" s="196">
        <f>IFERROR(MATCH(TRUE(),INDEX(C96:Z96&gt;=0,0),0),"Chưa hoàn vốn trong 24 tháng")</f>
        <v/>
      </c>
    </row>
    <row r="58" ht="27.75" customHeight="1" s="112">
      <c r="A58" s="190" t="inlineStr">
        <is>
          <t>Doanh thu bình quân giảm</t>
        </is>
      </c>
      <c r="B58" s="195">
        <f>'3_Giả định'!$C$17</f>
        <v/>
      </c>
      <c r="C58" s="195">
        <f>B81</f>
        <v/>
      </c>
      <c r="D58" s="195">
        <f>(B100+NPV($K$81/12,C100:Z100))/1000000</f>
        <v/>
      </c>
      <c r="E58" s="195">
        <f>D58-$D$57</f>
        <v/>
      </c>
      <c r="F58" s="196">
        <f>IFERROR(MATCH(TRUE(),INDEX(C101:Z101&lt;0,0),0),"Không hết tiền trong 24 tháng")</f>
        <v/>
      </c>
      <c r="G58" s="196">
        <f>IFERROR(MATCH(TRUE(),INDEX(C102:Z102&gt;=0,0),0),"Chưa hoàn vốn trong 24 tháng")</f>
        <v/>
      </c>
      <c r="H58" s="197">
        <f>RANK(D58,$D$58:$D$64,1)</f>
        <v/>
      </c>
    </row>
    <row r="59" ht="27.75" customHeight="1" s="112">
      <c r="A59" s="190" t="inlineStr">
        <is>
          <t>Chi phí AI tăng</t>
        </is>
      </c>
      <c r="B59" s="195">
        <f>'3_Giả định'!$C$18</f>
        <v/>
      </c>
      <c r="C59" s="195">
        <f>C82</f>
        <v/>
      </c>
      <c r="D59" s="195">
        <f>(B106+NPV($K$82/12,C106:Z106))/1000000</f>
        <v/>
      </c>
      <c r="E59" s="195">
        <f>D59-$D$57</f>
        <v/>
      </c>
      <c r="F59" s="196">
        <f>IFERROR(MATCH(TRUE(),INDEX(C107:Z107&lt;0,0),0),"Không hết tiền trong 24 tháng")</f>
        <v/>
      </c>
      <c r="G59" s="196">
        <f>IFERROR(MATCH(TRUE(),INDEX(C108:Z108&gt;=0,0),0),"Chưa hoàn vốn trong 24 tháng")</f>
        <v/>
      </c>
      <c r="H59" s="197">
        <f>RANK(D59,$D$58:$D$64,1)</f>
        <v/>
      </c>
    </row>
    <row r="60" ht="27.75" customHeight="1" s="112">
      <c r="A60" s="190" t="inlineStr">
        <is>
          <t>Tỷ lệ rời bỏ tăng</t>
        </is>
      </c>
      <c r="B60" s="198">
        <f>'3_Giả định'!$C$9</f>
        <v/>
      </c>
      <c r="C60" s="198">
        <f>F83</f>
        <v/>
      </c>
      <c r="D60" s="195">
        <f>(B112+NPV($K$83/12,C112:Z112))/1000000</f>
        <v/>
      </c>
      <c r="E60" s="195">
        <f>D60-$D$57</f>
        <v/>
      </c>
      <c r="F60" s="196">
        <f>IFERROR(MATCH(TRUE(),INDEX(C113:Z113&lt;0,0),0),"Không hết tiền trong 24 tháng")</f>
        <v/>
      </c>
      <c r="G60" s="196">
        <f>IFERROR(MATCH(TRUE(),INDEX(C114:Z114&gt;=0,0),0),"Chưa hoàn vốn trong 24 tháng")</f>
        <v/>
      </c>
      <c r="H60" s="197">
        <f>RANK(D60,$D$58:$D$64,1)</f>
        <v/>
      </c>
    </row>
    <row r="61" ht="27.75" customHeight="1" s="112">
      <c r="A61" s="190" t="inlineStr">
        <is>
          <t>Chi phí có một khách tăng</t>
        </is>
      </c>
      <c r="B61" s="195">
        <f>'3_Giả định'!$C$10</f>
        <v/>
      </c>
      <c r="C61" s="195">
        <f>G84</f>
        <v/>
      </c>
      <c r="D61" s="195">
        <f>(B118+NPV($K$84/12,C118:Z118))/1000000</f>
        <v/>
      </c>
      <c r="E61" s="195">
        <f>D61-$D$57</f>
        <v/>
      </c>
      <c r="F61" s="196">
        <f>IFERROR(MATCH(TRUE(),INDEX(C119:Z119&lt;0,0),0),"Không hết tiền trong 24 tháng")</f>
        <v/>
      </c>
      <c r="G61" s="196">
        <f>IFERROR(MATCH(TRUE(),INDEX(C120:Z120&gt;=0,0),0),"Chưa hoàn vốn trong 24 tháng")</f>
        <v/>
      </c>
      <c r="H61" s="197">
        <f>RANK(D61,$D$58:$D$64,1)</f>
        <v/>
      </c>
    </row>
    <row r="62" ht="27.75" customHeight="1" s="112">
      <c r="A62" s="190" t="inlineStr">
        <is>
          <t>Khách mới tháng đầu giảm</t>
        </is>
      </c>
      <c r="B62" s="199">
        <f>'3_Giả định'!$C$7</f>
        <v/>
      </c>
      <c r="C62" s="199">
        <f>D85</f>
        <v/>
      </c>
      <c r="D62" s="195">
        <f>(B124+NPV($K$85/12,C124:Z124))/1000000</f>
        <v/>
      </c>
      <c r="E62" s="195">
        <f>D62-$D$57</f>
        <v/>
      </c>
      <c r="F62" s="196">
        <f>IFERROR(MATCH(TRUE(),INDEX(C125:Z125&lt;0,0),0),"Không hết tiền trong 24 tháng")</f>
        <v/>
      </c>
      <c r="G62" s="196">
        <f>IFERROR(MATCH(TRUE(),INDEX(C126:Z126&gt;=0,0),0),"Chưa hoàn vốn trong 24 tháng")</f>
        <v/>
      </c>
      <c r="H62" s="197">
        <f>RANK(D62,$D$58:$D$64,1)</f>
        <v/>
      </c>
    </row>
    <row r="63" ht="27.75" customHeight="1" s="112">
      <c r="A63" s="190" t="inlineStr">
        <is>
          <t>Tăng trưởng khách mới giảm</t>
        </is>
      </c>
      <c r="B63" s="198">
        <f>'3_Giả định'!$C$8</f>
        <v/>
      </c>
      <c r="C63" s="198">
        <f>E86</f>
        <v/>
      </c>
      <c r="D63" s="195">
        <f>(B130+NPV($K$86/12,C130:Z130))/1000000</f>
        <v/>
      </c>
      <c r="E63" s="195">
        <f>D63-$D$57</f>
        <v/>
      </c>
      <c r="F63" s="196">
        <f>IFERROR(MATCH(TRUE(),INDEX(C131:Z131&lt;0,0),0),"Không hết tiền trong 24 tháng")</f>
        <v/>
      </c>
      <c r="G63" s="196">
        <f>IFERROR(MATCH(TRUE(),INDEX(C132:Z132&gt;=0,0),0),"Chưa hoàn vốn trong 24 tháng")</f>
        <v/>
      </c>
      <c r="H63" s="197">
        <f>RANK(D63,$D$58:$D$64,1)</f>
        <v/>
      </c>
    </row>
    <row r="64" ht="27.75" customHeight="1" s="112">
      <c r="A64" s="190" t="inlineStr">
        <is>
          <t>Chi phí cố định tăng</t>
        </is>
      </c>
      <c r="B64" s="195">
        <f>'3_Giả định'!$C$11</f>
        <v/>
      </c>
      <c r="C64" s="195">
        <f>H87</f>
        <v/>
      </c>
      <c r="D64" s="195">
        <f>(B136+NPV($K$87/12,C136:Z136))/1000000</f>
        <v/>
      </c>
      <c r="E64" s="195">
        <f>D64-$D$57</f>
        <v/>
      </c>
      <c r="F64" s="196">
        <f>IFERROR(MATCH(TRUE(),INDEX(C137:Z137&lt;0,0),0),"Không hết tiền trong 24 tháng")</f>
        <v/>
      </c>
      <c r="G64" s="196">
        <f>IFERROR(MATCH(TRUE(),INDEX(C138:Z138&gt;=0,0),0),"Chưa hoàn vốn trong 24 tháng")</f>
        <v/>
      </c>
      <c r="H64" s="197">
        <f>RANK(D64,$D$58:$D$64,1)</f>
        <v/>
      </c>
    </row>
    <row r="66" ht="15" customHeight="1" s="112">
      <c r="A66" s="116" t="inlineStr">
        <is>
          <t>Biến nguy hiểm nhất</t>
        </is>
      </c>
      <c r="B66" s="200">
        <f>IF(MAX(D58:D64)-MIN(D58:D64)&lt;0.5,"Chưa đủ số liệu",INDEX(A58:A64,MATCH(MIN(D58:D64),D58:D64,0)))</f>
        <v/>
      </c>
    </row>
    <row r="68" ht="31.5" customHeight="1" s="112">
      <c r="A68" s="201" t="inlineStr">
        <is>
          <t>Tình huống: khách dùng nhiều bỏ đi, thay bằng khách thường</t>
        </is>
      </c>
      <c r="B68" s="194" t="inlineStr">
        <is>
          <t>—</t>
        </is>
      </c>
      <c r="C68" s="194" t="inlineStr">
        <is>
          <t>—</t>
        </is>
      </c>
      <c r="D68" s="195">
        <f>(B142+NPV($K$88/12,C142:Z142))/1000000</f>
        <v/>
      </c>
      <c r="E68" s="195">
        <f>D68-$D$57</f>
        <v/>
      </c>
      <c r="F68" s="196">
        <f>IFERROR(MATCH(TRUE(),INDEX(C143:Z143&lt;0,0),0),"Không hết tiền trong 24 tháng")</f>
        <v/>
      </c>
      <c r="G68" s="196">
        <f>IFERROR(MATCH(TRUE(),INDEX(C144:Z144&gt;=0,0),0),"Chưa hoàn vốn trong 24 tháng")</f>
        <v/>
      </c>
    </row>
    <row r="69" ht="15" customHeight="1" s="112">
      <c r="A69" s="162" t="inlineStr">
        <is>
          <t>Cách đọc: biến làm giá trị hiện tại ròng giảm nhiều nhất là biến nguy hiểm nhất — đưa nó vào câu 3 của ghi chú quyết định (trang 7). Ở kịch bản cơ sở, cột "Tháng hết tiền" có thể không đổi; hãy nhìn giá trị hiện tại ròng. Dòng tình huống đặc biệt cho thấy mô hình phụ thuộc nhóm khách dùng nhiều đến mức nào.</t>
        </is>
      </c>
    </row>
    <row r="70" ht="15" customHeight="1" s="112">
      <c r="A70" s="188" t="inlineStr">
        <is>
          <t>MỨC CẢNH BÁO TỰ TÍNH (kịch bản cơ sở): chép vào cột [TỰ TÍNH] của bảng theo dõi Ngày 23. Nếu giá trị hiện tại ròng cơ sở (D57) đang âm, cột C là mức PHẢI ĐẠT để hoà vốn, chưa phải mức cảnh báo.</t>
        </is>
      </c>
    </row>
    <row r="71" ht="45" customHeight="1" s="112">
      <c r="A71" s="125" t="inlineStr">
        <is>
          <t>Chỉ số</t>
        </is>
      </c>
      <c r="B71" s="125" t="inlineStr">
        <is>
          <t>Cơ sở hiện tại</t>
        </is>
      </c>
      <c r="C71" s="125" t="inlineStr">
        <is>
          <t>Mức hoà vốn (giá trị hiện tại ròng 24 tháng = 0)</t>
        </is>
      </c>
      <c r="D71" s="166" t="inlineStr">
        <is>
          <t>Còn cách (so với hiện tại)</t>
        </is>
      </c>
      <c r="E71" s="125" t="inlineStr">
        <is>
          <t>Cách dùng trong bảng theo dõi Ngày 23</t>
        </is>
      </c>
    </row>
    <row r="72" ht="15" customHeight="1" s="112">
      <c r="A72" s="132" t="inlineStr">
        <is>
          <t>Doanh thu bình quân / khách / tháng (VND)</t>
        </is>
      </c>
      <c r="B72" s="134">
        <f>'3_Giả định'!C17</f>
        <v/>
      </c>
      <c r="C72" s="136">
        <f>IFERROR(B72*(1-$B$54*$D$57/($D$57-$D$58)),"")</f>
        <v/>
      </c>
      <c r="D72" s="138">
        <f>IFERROR(C72/B72-1,"")</f>
        <v/>
      </c>
      <c r="E72" s="132" t="inlineStr">
        <is>
          <t>Dưới mức này là "nguy"</t>
        </is>
      </c>
      <c r="F72" s="202" t="n"/>
      <c r="G72" s="202" t="n"/>
      <c r="H72" s="203" t="n"/>
    </row>
    <row r="73" ht="15" customHeight="1" s="112">
      <c r="A73" s="132" t="inlineStr">
        <is>
          <t>Biên lợi nhuận gộp</t>
        </is>
      </c>
      <c r="B73" s="204">
        <f>'4_Chỉ số mỗi khách'!C7</f>
        <v/>
      </c>
      <c r="C73" s="175">
        <f>IFERROR(1-('3_Giả định'!C18*(1+$B$54*$D$57/($D$57-$D$59)))/'3_Giả định'!C17,"")</f>
        <v/>
      </c>
      <c r="D73" s="204">
        <f>IFERROR(C73-B73,"")</f>
        <v/>
      </c>
      <c r="E73" s="132" t="inlineStr">
        <is>
          <t>Dưới mức này là "nguy". Ngày 22 nói 60%: đây là con số của chính mô hình</t>
        </is>
      </c>
      <c r="F73" s="202" t="n"/>
      <c r="G73" s="202" t="n"/>
      <c r="H73" s="203" t="n"/>
    </row>
    <row r="74" ht="15" customHeight="1" s="112">
      <c r="A74" s="132" t="inlineStr">
        <is>
          <t>Chi phí có một khách tối đa (VND)</t>
        </is>
      </c>
      <c r="B74" s="134">
        <f>'3_Giả định'!C10</f>
        <v/>
      </c>
      <c r="C74" s="136">
        <f>IFERROR(B74*(1+$B$54*$D$57/($D$57-$D$61)),"")</f>
        <v/>
      </c>
      <c r="D74" s="138">
        <f>IFERROR(C74/B74-1,"")</f>
        <v/>
      </c>
      <c r="E74" s="137">
        <f>IFERROR("Trên mức này là 'nguy'. Tương ứng LTV ÷ CAC = "&amp;ROUND('4_Chỉ số mỗi khách'!C9/C74,1)&amp;", không phải 3","")</f>
        <v/>
      </c>
      <c r="F74" s="202" t="n"/>
      <c r="G74" s="202" t="n"/>
      <c r="H74" s="203" t="n"/>
    </row>
    <row r="75" ht="15" customHeight="1" s="112">
      <c r="A75" s="132" t="inlineStr">
        <is>
          <t>Khách mới tháng đầu tối thiểu</t>
        </is>
      </c>
      <c r="B75" s="205">
        <f>'3_Giả định'!C7</f>
        <v/>
      </c>
      <c r="C75" s="206">
        <f>IFERROR(B75*(1-$B$54*$D$57/($D$57-$D$62)),"")</f>
        <v/>
      </c>
      <c r="D75" s="138">
        <f>IFERROR(C75/B75-1,"")</f>
        <v/>
      </c>
      <c r="E75" s="132" t="inlineStr">
        <is>
          <t>Chỉ số báo sớm: số cửa hàng ký mới mỗi tháng</t>
        </is>
      </c>
      <c r="F75" s="202" t="n"/>
      <c r="G75" s="202" t="n"/>
      <c r="H75" s="203" t="n"/>
    </row>
    <row r="76" ht="15" customHeight="1" s="112">
      <c r="A76" s="132" t="inlineStr">
        <is>
          <t>Chi phí cố định tối đa / tháng (VND)</t>
        </is>
      </c>
      <c r="B76" s="134">
        <f>'3_Giả định'!C11</f>
        <v/>
      </c>
      <c r="C76" s="136">
        <f>IFERROR(B76*(1+$B$54*$D$57/($D$57-$D$64)),"")</f>
        <v/>
      </c>
      <c r="D76" s="138">
        <f>IFERROR(C76/B76-1,"")</f>
        <v/>
      </c>
      <c r="E76" s="132" t="inlineStr">
        <is>
          <t>Trần chi cho đội và văn phòng</t>
        </is>
      </c>
      <c r="F76" s="202" t="n"/>
      <c r="G76" s="202" t="n"/>
      <c r="H76" s="203" t="n"/>
    </row>
    <row r="77" ht="15" customHeight="1" s="112">
      <c r="A77" s="132" t="inlineStr">
        <is>
          <t>Tỷ lệ chia doanh thu cho đối tác tối đa</t>
        </is>
      </c>
      <c r="B77" s="204">
        <f>'2_Định giá'!B27</f>
        <v/>
      </c>
      <c r="C77" s="175">
        <f>IFERROR(1-C72/('2_Định giá'!D17*'3_Giả định'!C5),"")</f>
        <v/>
      </c>
      <c r="D77" s="204">
        <f>IFERROR(C77-B77,"")</f>
        <v/>
      </c>
      <c r="E77" s="132" t="inlineStr">
        <is>
          <t>Trần khi đàm phán với đối tác. Ngày 23 chỉ đòi biên sau chia trên 50%</t>
        </is>
      </c>
      <c r="F77" s="202" t="n"/>
      <c r="G77" s="202" t="n"/>
      <c r="H77" s="203" t="n"/>
    </row>
    <row r="78" ht="15" customHeight="1" s="112">
      <c r="A78" s="207" t="inlineStr">
        <is>
          <t>BẢNG TÍNH PHỤ CHO ĐỘ NHẠY — đã ẩn, không cần đọc</t>
        </is>
      </c>
    </row>
    <row r="79" hidden="1" outlineLevel="1" ht="15" customHeight="1" s="112">
      <c r="A79" s="207" t="inlineStr">
        <is>
          <t>Kịch bản</t>
        </is>
      </c>
      <c r="B79" s="207" t="inlineStr">
        <is>
          <t>Doanh thu bình quân</t>
        </is>
      </c>
      <c r="C79" s="207" t="inlineStr">
        <is>
          <t>Chi phí AI / khách</t>
        </is>
      </c>
      <c r="D79" s="207" t="inlineStr">
        <is>
          <t>Khách mới tháng 1</t>
        </is>
      </c>
      <c r="E79" s="207" t="inlineStr">
        <is>
          <t>Tăng trưởng</t>
        </is>
      </c>
      <c r="F79" s="207" t="inlineStr">
        <is>
          <t>Tỷ lệ rời bỏ</t>
        </is>
      </c>
      <c r="G79" s="207" t="inlineStr">
        <is>
          <t>Chi phí có khách</t>
        </is>
      </c>
      <c r="H79" s="207" t="inlineStr">
        <is>
          <t>Chi phí cố định</t>
        </is>
      </c>
      <c r="I79" s="207" t="inlineStr">
        <is>
          <t>Chi phí xây dựng</t>
        </is>
      </c>
      <c r="J79" s="207" t="inlineStr">
        <is>
          <t>Tiền mặt</t>
        </is>
      </c>
      <c r="K79" s="207" t="inlineStr">
        <is>
          <t>Lãi suất</t>
        </is>
      </c>
    </row>
    <row r="80" hidden="1" outlineLevel="1" ht="15" customHeight="1" s="112">
      <c r="A80" s="207" t="inlineStr">
        <is>
          <t>KB0 · Không đổi (cơ sở)</t>
        </is>
      </c>
      <c r="B80" s="208">
        <f>'3_Giả định'!$C$17</f>
        <v/>
      </c>
      <c r="C80" s="208">
        <f>'3_Giả định'!$C$18</f>
        <v/>
      </c>
      <c r="D80" s="209">
        <f>'3_Giả định'!$C$7</f>
        <v/>
      </c>
      <c r="E80" s="210">
        <f>'3_Giả định'!$C$8</f>
        <v/>
      </c>
      <c r="F80" s="210">
        <f>'3_Giả định'!$C$9</f>
        <v/>
      </c>
      <c r="G80" s="208">
        <f>'3_Giả định'!$C$10</f>
        <v/>
      </c>
      <c r="H80" s="208">
        <f>'3_Giả định'!$C$11</f>
        <v/>
      </c>
      <c r="I80" s="208">
        <f>'3_Giả định'!$C$12</f>
        <v/>
      </c>
      <c r="J80" s="208">
        <f>'3_Giả định'!$C$13</f>
        <v/>
      </c>
      <c r="K80" s="210">
        <f>'3_Giả định'!$C$14</f>
        <v/>
      </c>
    </row>
    <row r="81" hidden="1" outlineLevel="1" ht="15" customHeight="1" s="112">
      <c r="A81" s="207" t="inlineStr">
        <is>
          <t>KB1 · Doanh thu bình quân giảm</t>
        </is>
      </c>
      <c r="B81" s="208">
        <f>'3_Giả định'!$C$17*(1-$B$54)</f>
        <v/>
      </c>
      <c r="C81" s="208">
        <f>'3_Giả định'!$C$18</f>
        <v/>
      </c>
      <c r="D81" s="209">
        <f>'3_Giả định'!$C$7</f>
        <v/>
      </c>
      <c r="E81" s="210">
        <f>'3_Giả định'!$C$8</f>
        <v/>
      </c>
      <c r="F81" s="210">
        <f>'3_Giả định'!$C$9</f>
        <v/>
      </c>
      <c r="G81" s="208">
        <f>'3_Giả định'!$C$10</f>
        <v/>
      </c>
      <c r="H81" s="208">
        <f>'3_Giả định'!$C$11</f>
        <v/>
      </c>
      <c r="I81" s="208">
        <f>'3_Giả định'!$C$12</f>
        <v/>
      </c>
      <c r="J81" s="208">
        <f>'3_Giả định'!$C$13</f>
        <v/>
      </c>
      <c r="K81" s="210">
        <f>'3_Giả định'!$C$14</f>
        <v/>
      </c>
    </row>
    <row r="82" hidden="1" outlineLevel="1" ht="15" customHeight="1" s="112">
      <c r="A82" s="207" t="inlineStr">
        <is>
          <t>KB2 · Chi phí AI tăng</t>
        </is>
      </c>
      <c r="B82" s="208">
        <f>'3_Giả định'!$C$17</f>
        <v/>
      </c>
      <c r="C82" s="208">
        <f>'3_Giả định'!$C$18*(1+$B$54)</f>
        <v/>
      </c>
      <c r="D82" s="209">
        <f>'3_Giả định'!$C$7</f>
        <v/>
      </c>
      <c r="E82" s="210">
        <f>'3_Giả định'!$C$8</f>
        <v/>
      </c>
      <c r="F82" s="210">
        <f>'3_Giả định'!$C$9</f>
        <v/>
      </c>
      <c r="G82" s="208">
        <f>'3_Giả định'!$C$10</f>
        <v/>
      </c>
      <c r="H82" s="208">
        <f>'3_Giả định'!$C$11</f>
        <v/>
      </c>
      <c r="I82" s="208">
        <f>'3_Giả định'!$C$12</f>
        <v/>
      </c>
      <c r="J82" s="208">
        <f>'3_Giả định'!$C$13</f>
        <v/>
      </c>
      <c r="K82" s="210">
        <f>'3_Giả định'!$C$14</f>
        <v/>
      </c>
    </row>
    <row r="83" hidden="1" outlineLevel="1" ht="15" customHeight="1" s="112">
      <c r="A83" s="207" t="inlineStr">
        <is>
          <t>KB3 · Tỷ lệ rời bỏ tăng</t>
        </is>
      </c>
      <c r="B83" s="208">
        <f>'3_Giả định'!$C$17</f>
        <v/>
      </c>
      <c r="C83" s="208">
        <f>'3_Giả định'!$C$18</f>
        <v/>
      </c>
      <c r="D83" s="209">
        <f>'3_Giả định'!$C$7</f>
        <v/>
      </c>
      <c r="E83" s="210">
        <f>'3_Giả định'!$C$8</f>
        <v/>
      </c>
      <c r="F83" s="210">
        <f>'3_Giả định'!$C$9*(1+$B$54)</f>
        <v/>
      </c>
      <c r="G83" s="208">
        <f>'3_Giả định'!$C$10</f>
        <v/>
      </c>
      <c r="H83" s="208">
        <f>'3_Giả định'!$C$11</f>
        <v/>
      </c>
      <c r="I83" s="208">
        <f>'3_Giả định'!$C$12</f>
        <v/>
      </c>
      <c r="J83" s="208">
        <f>'3_Giả định'!$C$13</f>
        <v/>
      </c>
      <c r="K83" s="210">
        <f>'3_Giả định'!$C$14</f>
        <v/>
      </c>
    </row>
    <row r="84" hidden="1" outlineLevel="1" ht="15" customHeight="1" s="112">
      <c r="A84" s="207" t="inlineStr">
        <is>
          <t>KB4 · Chi phí có một khách tăng</t>
        </is>
      </c>
      <c r="B84" s="208">
        <f>'3_Giả định'!$C$17</f>
        <v/>
      </c>
      <c r="C84" s="208">
        <f>'3_Giả định'!$C$18</f>
        <v/>
      </c>
      <c r="D84" s="209">
        <f>'3_Giả định'!$C$7</f>
        <v/>
      </c>
      <c r="E84" s="210">
        <f>'3_Giả định'!$C$8</f>
        <v/>
      </c>
      <c r="F84" s="210">
        <f>'3_Giả định'!$C$9</f>
        <v/>
      </c>
      <c r="G84" s="208">
        <f>'3_Giả định'!$C$10*(1+$B$54)</f>
        <v/>
      </c>
      <c r="H84" s="208">
        <f>'3_Giả định'!$C$11</f>
        <v/>
      </c>
      <c r="I84" s="208">
        <f>'3_Giả định'!$C$12</f>
        <v/>
      </c>
      <c r="J84" s="208">
        <f>'3_Giả định'!$C$13</f>
        <v/>
      </c>
      <c r="K84" s="210">
        <f>'3_Giả định'!$C$14</f>
        <v/>
      </c>
    </row>
    <row r="85" hidden="1" outlineLevel="1" ht="15" customHeight="1" s="112">
      <c r="A85" s="207" t="inlineStr">
        <is>
          <t>KB5 · Khách mới tháng đầu giảm</t>
        </is>
      </c>
      <c r="B85" s="208">
        <f>'3_Giả định'!$C$17</f>
        <v/>
      </c>
      <c r="C85" s="208">
        <f>'3_Giả định'!$C$18</f>
        <v/>
      </c>
      <c r="D85" s="209">
        <f>'3_Giả định'!$C$7*(1-$B$54)</f>
        <v/>
      </c>
      <c r="E85" s="210">
        <f>'3_Giả định'!$C$8</f>
        <v/>
      </c>
      <c r="F85" s="210">
        <f>'3_Giả định'!$C$9</f>
        <v/>
      </c>
      <c r="G85" s="208">
        <f>'3_Giả định'!$C$10</f>
        <v/>
      </c>
      <c r="H85" s="208">
        <f>'3_Giả định'!$C$11</f>
        <v/>
      </c>
      <c r="I85" s="208">
        <f>'3_Giả định'!$C$12</f>
        <v/>
      </c>
      <c r="J85" s="208">
        <f>'3_Giả định'!$C$13</f>
        <v/>
      </c>
      <c r="K85" s="210">
        <f>'3_Giả định'!$C$14</f>
        <v/>
      </c>
    </row>
    <row r="86" hidden="1" outlineLevel="1" ht="15" customHeight="1" s="112">
      <c r="A86" s="207" t="inlineStr">
        <is>
          <t>KB6 · Tăng trưởng khách mới giảm</t>
        </is>
      </c>
      <c r="B86" s="208">
        <f>'3_Giả định'!$C$17</f>
        <v/>
      </c>
      <c r="C86" s="208">
        <f>'3_Giả định'!$C$18</f>
        <v/>
      </c>
      <c r="D86" s="209">
        <f>'3_Giả định'!$C$7</f>
        <v/>
      </c>
      <c r="E86" s="210">
        <f>'3_Giả định'!$C$8*(1-$B$54)</f>
        <v/>
      </c>
      <c r="F86" s="210">
        <f>'3_Giả định'!$C$9</f>
        <v/>
      </c>
      <c r="G86" s="208">
        <f>'3_Giả định'!$C$10</f>
        <v/>
      </c>
      <c r="H86" s="208">
        <f>'3_Giả định'!$C$11</f>
        <v/>
      </c>
      <c r="I86" s="208">
        <f>'3_Giả định'!$C$12</f>
        <v/>
      </c>
      <c r="J86" s="208">
        <f>'3_Giả định'!$C$13</f>
        <v/>
      </c>
      <c r="K86" s="210">
        <f>'3_Giả định'!$C$14</f>
        <v/>
      </c>
    </row>
    <row r="87" hidden="1" outlineLevel="1" ht="15" customHeight="1" s="112">
      <c r="A87" s="207" t="inlineStr">
        <is>
          <t>KB7 · Chi phí cố định tăng</t>
        </is>
      </c>
      <c r="B87" s="208">
        <f>'3_Giả định'!$C$17</f>
        <v/>
      </c>
      <c r="C87" s="208">
        <f>'3_Giả định'!$C$18</f>
        <v/>
      </c>
      <c r="D87" s="209">
        <f>'3_Giả định'!$C$7</f>
        <v/>
      </c>
      <c r="E87" s="210">
        <f>'3_Giả định'!$C$8</f>
        <v/>
      </c>
      <c r="F87" s="210">
        <f>'3_Giả định'!$C$9</f>
        <v/>
      </c>
      <c r="G87" s="208">
        <f>'3_Giả định'!$C$10</f>
        <v/>
      </c>
      <c r="H87" s="208">
        <f>'3_Giả định'!$C$11*(1+$B$54)</f>
        <v/>
      </c>
      <c r="I87" s="208">
        <f>'3_Giả định'!$C$12</f>
        <v/>
      </c>
      <c r="J87" s="208">
        <f>'3_Giả định'!$C$13</f>
        <v/>
      </c>
      <c r="K87" s="210">
        <f>'3_Giả định'!$C$14</f>
        <v/>
      </c>
    </row>
    <row r="88" hidden="1" outlineLevel="1" ht="15" customHeight="1" s="112">
      <c r="A88" s="207" t="inlineStr">
        <is>
          <t>KB8 · Tình huống: khách dùng nhiều bỏ đi, thay bằng khách thường</t>
        </is>
      </c>
      <c r="B88" s="208">
        <f>'2_Định giá'!$D$15*'3_Giả định'!$C$5*(1-'2_Định giá'!$B$27)</f>
        <v/>
      </c>
      <c r="C88" s="208">
        <f>'2_Định giá'!$E$15*'3_Giả định'!$C$6</f>
        <v/>
      </c>
      <c r="D88" s="209">
        <f>'3_Giả định'!$C$7</f>
        <v/>
      </c>
      <c r="E88" s="210">
        <f>'3_Giả định'!$C$8</f>
        <v/>
      </c>
      <c r="F88" s="210">
        <f>'3_Giả định'!$C$9</f>
        <v/>
      </c>
      <c r="G88" s="208">
        <f>'3_Giả định'!$C$10</f>
        <v/>
      </c>
      <c r="H88" s="208">
        <f>'3_Giả định'!$C$11</f>
        <v/>
      </c>
      <c r="I88" s="208">
        <f>'3_Giả định'!$C$12</f>
        <v/>
      </c>
      <c r="J88" s="208">
        <f>'3_Giả định'!$C$13</f>
        <v/>
      </c>
      <c r="K88" s="210">
        <f>'3_Giả định'!$C$14</f>
        <v/>
      </c>
    </row>
    <row r="89" hidden="1" outlineLevel="1" ht="15" customHeight="1" s="112"/>
    <row r="90" hidden="1" outlineLevel="1" ht="15" customHeight="1" s="112"/>
    <row r="91" hidden="1" outlineLevel="1" ht="15" customHeight="1" s="112"/>
    <row r="92" hidden="1" outlineLevel="1" ht="15" customHeight="1" s="112">
      <c r="A92" s="207" t="inlineStr">
        <is>
          <t>KB0 · Khách mới</t>
        </is>
      </c>
      <c r="C92" s="209">
        <f>$D$80*(1+$E$80)^0</f>
        <v/>
      </c>
      <c r="D92" s="209">
        <f>$D$80*(1+$E$80)^1</f>
        <v/>
      </c>
      <c r="E92" s="209">
        <f>$D$80*(1+$E$80)^2</f>
        <v/>
      </c>
      <c r="F92" s="209">
        <f>$D$80*(1+$E$80)^3</f>
        <v/>
      </c>
      <c r="G92" s="209">
        <f>$D$80*(1+$E$80)^4</f>
        <v/>
      </c>
      <c r="H92" s="209">
        <f>$D$80*(1+$E$80)^5</f>
        <v/>
      </c>
      <c r="I92" s="209">
        <f>$D$80*(1+$E$80)^6</f>
        <v/>
      </c>
      <c r="J92" s="209">
        <f>$D$80*(1+$E$80)^7</f>
        <v/>
      </c>
      <c r="K92" s="209">
        <f>$D$80*(1+$E$80)^8</f>
        <v/>
      </c>
      <c r="L92" s="209">
        <f>$D$80*(1+$E$80)^9</f>
        <v/>
      </c>
      <c r="M92" s="209">
        <f>$D$80*(1+$E$80)^10</f>
        <v/>
      </c>
      <c r="N92" s="209">
        <f>$D$80*(1+$E$80)^11</f>
        <v/>
      </c>
      <c r="O92" s="209">
        <f>$D$80*(1+$E$80)^12</f>
        <v/>
      </c>
      <c r="P92" s="209">
        <f>$D$80*(1+$E$80)^13</f>
        <v/>
      </c>
      <c r="Q92" s="209">
        <f>$D$80*(1+$E$80)^14</f>
        <v/>
      </c>
      <c r="R92" s="209">
        <f>$D$80*(1+$E$80)^15</f>
        <v/>
      </c>
      <c r="S92" s="209">
        <f>$D$80*(1+$E$80)^16</f>
        <v/>
      </c>
      <c r="T92" s="209">
        <f>$D$80*(1+$E$80)^17</f>
        <v/>
      </c>
      <c r="U92" s="209">
        <f>$D$80*(1+$E$80)^18</f>
        <v/>
      </c>
      <c r="V92" s="209">
        <f>$D$80*(1+$E$80)^19</f>
        <v/>
      </c>
      <c r="W92" s="209">
        <f>$D$80*(1+$E$80)^20</f>
        <v/>
      </c>
      <c r="X92" s="209">
        <f>$D$80*(1+$E$80)^21</f>
        <v/>
      </c>
      <c r="Y92" s="209">
        <f>$D$80*(1+$E$80)^22</f>
        <v/>
      </c>
      <c r="Z92" s="209">
        <f>$D$80*(1+$E$80)^23</f>
        <v/>
      </c>
    </row>
    <row r="93" hidden="1" outlineLevel="1" ht="15" customHeight="1" s="112">
      <c r="A93" s="207" t="inlineStr">
        <is>
          <t>KB0 · Khách đang dùng</t>
        </is>
      </c>
      <c r="B93" s="207" t="n">
        <v>0</v>
      </c>
      <c r="C93" s="209">
        <f>B93*(1-$F$80)+C92</f>
        <v/>
      </c>
      <c r="D93" s="209">
        <f>C93*(1-$F$80)+D92</f>
        <v/>
      </c>
      <c r="E93" s="209">
        <f>D93*(1-$F$80)+E92</f>
        <v/>
      </c>
      <c r="F93" s="209">
        <f>E93*(1-$F$80)+F92</f>
        <v/>
      </c>
      <c r="G93" s="209">
        <f>F93*(1-$F$80)+G92</f>
        <v/>
      </c>
      <c r="H93" s="209">
        <f>G93*(1-$F$80)+H92</f>
        <v/>
      </c>
      <c r="I93" s="209">
        <f>H93*(1-$F$80)+I92</f>
        <v/>
      </c>
      <c r="J93" s="209">
        <f>I93*(1-$F$80)+J92</f>
        <v/>
      </c>
      <c r="K93" s="209">
        <f>J93*(1-$F$80)+K92</f>
        <v/>
      </c>
      <c r="L93" s="209">
        <f>K93*(1-$F$80)+L92</f>
        <v/>
      </c>
      <c r="M93" s="209">
        <f>L93*(1-$F$80)+M92</f>
        <v/>
      </c>
      <c r="N93" s="209">
        <f>M93*(1-$F$80)+N92</f>
        <v/>
      </c>
      <c r="O93" s="209">
        <f>N93*(1-$F$80)+O92</f>
        <v/>
      </c>
      <c r="P93" s="209">
        <f>O93*(1-$F$80)+P92</f>
        <v/>
      </c>
      <c r="Q93" s="209">
        <f>P93*(1-$F$80)+Q92</f>
        <v/>
      </c>
      <c r="R93" s="209">
        <f>Q93*(1-$F$80)+R92</f>
        <v/>
      </c>
      <c r="S93" s="209">
        <f>R93*(1-$F$80)+S92</f>
        <v/>
      </c>
      <c r="T93" s="209">
        <f>S93*(1-$F$80)+T92</f>
        <v/>
      </c>
      <c r="U93" s="209">
        <f>T93*(1-$F$80)+U92</f>
        <v/>
      </c>
      <c r="V93" s="209">
        <f>U93*(1-$F$80)+V92</f>
        <v/>
      </c>
      <c r="W93" s="209">
        <f>V93*(1-$F$80)+W92</f>
        <v/>
      </c>
      <c r="X93" s="209">
        <f>W93*(1-$F$80)+X92</f>
        <v/>
      </c>
      <c r="Y93" s="209">
        <f>X93*(1-$F$80)+Y92</f>
        <v/>
      </c>
      <c r="Z93" s="209">
        <f>Y93*(1-$F$80)+Z92</f>
        <v/>
      </c>
    </row>
    <row r="94" hidden="1" outlineLevel="1" ht="15" customHeight="1" s="112">
      <c r="A94" s="207" t="inlineStr">
        <is>
          <t>KB0 · Dòng tiền ròng</t>
        </is>
      </c>
      <c r="B94" s="208">
        <f>-$I$80</f>
        <v/>
      </c>
      <c r="C94" s="208">
        <f>C93*($B$80-$C$80)-C92*$G$80-$H$80</f>
        <v/>
      </c>
      <c r="D94" s="208">
        <f>D93*($B$80-$C$80)-D92*$G$80-$H$80</f>
        <v/>
      </c>
      <c r="E94" s="208">
        <f>E93*($B$80-$C$80)-E92*$G$80-$H$80</f>
        <v/>
      </c>
      <c r="F94" s="208">
        <f>F93*($B$80-$C$80)-F92*$G$80-$H$80</f>
        <v/>
      </c>
      <c r="G94" s="208">
        <f>G93*($B$80-$C$80)-G92*$G$80-$H$80</f>
        <v/>
      </c>
      <c r="H94" s="208">
        <f>H93*($B$80-$C$80)-H92*$G$80-$H$80</f>
        <v/>
      </c>
      <c r="I94" s="208">
        <f>I93*($B$80-$C$80)-I92*$G$80-$H$80</f>
        <v/>
      </c>
      <c r="J94" s="208">
        <f>J93*($B$80-$C$80)-J92*$G$80-$H$80</f>
        <v/>
      </c>
      <c r="K94" s="208">
        <f>K93*($B$80-$C$80)-K92*$G$80-$H$80</f>
        <v/>
      </c>
      <c r="L94" s="208">
        <f>L93*($B$80-$C$80)-L92*$G$80-$H$80</f>
        <v/>
      </c>
      <c r="M94" s="208">
        <f>M93*($B$80-$C$80)-M92*$G$80-$H$80</f>
        <v/>
      </c>
      <c r="N94" s="208">
        <f>N93*($B$80-$C$80)-N92*$G$80-$H$80</f>
        <v/>
      </c>
      <c r="O94" s="208">
        <f>O93*($B$80-$C$80)-O92*$G$80-$H$80</f>
        <v/>
      </c>
      <c r="P94" s="208">
        <f>P93*($B$80-$C$80)-P92*$G$80-$H$80</f>
        <v/>
      </c>
      <c r="Q94" s="208">
        <f>Q93*($B$80-$C$80)-Q92*$G$80-$H$80</f>
        <v/>
      </c>
      <c r="R94" s="208">
        <f>R93*($B$80-$C$80)-R92*$G$80-$H$80</f>
        <v/>
      </c>
      <c r="S94" s="208">
        <f>S93*($B$80-$C$80)-S92*$G$80-$H$80</f>
        <v/>
      </c>
      <c r="T94" s="208">
        <f>T93*($B$80-$C$80)-T92*$G$80-$H$80</f>
        <v/>
      </c>
      <c r="U94" s="208">
        <f>U93*($B$80-$C$80)-U92*$G$80-$H$80</f>
        <v/>
      </c>
      <c r="V94" s="208">
        <f>V93*($B$80-$C$80)-V92*$G$80-$H$80</f>
        <v/>
      </c>
      <c r="W94" s="208">
        <f>W93*($B$80-$C$80)-W92*$G$80-$H$80</f>
        <v/>
      </c>
      <c r="X94" s="208">
        <f>X93*($B$80-$C$80)-X92*$G$80-$H$80</f>
        <v/>
      </c>
      <c r="Y94" s="208">
        <f>Y93*($B$80-$C$80)-Y92*$G$80-$H$80</f>
        <v/>
      </c>
      <c r="Z94" s="208">
        <f>Z93*($B$80-$C$80)-Z92*$G$80-$H$80</f>
        <v/>
      </c>
    </row>
    <row r="95" hidden="1" outlineLevel="1" ht="15" customHeight="1" s="112">
      <c r="A95" s="207" t="inlineStr">
        <is>
          <t>KB0 · Tiền mặt cuối kỳ</t>
        </is>
      </c>
      <c r="B95" s="208">
        <f>$J$80+B94</f>
        <v/>
      </c>
      <c r="C95" s="208">
        <f>B95+C94</f>
        <v/>
      </c>
      <c r="D95" s="208">
        <f>C95+D94</f>
        <v/>
      </c>
      <c r="E95" s="208">
        <f>D95+E94</f>
        <v/>
      </c>
      <c r="F95" s="208">
        <f>E95+F94</f>
        <v/>
      </c>
      <c r="G95" s="208">
        <f>F95+G94</f>
        <v/>
      </c>
      <c r="H95" s="208">
        <f>G95+H94</f>
        <v/>
      </c>
      <c r="I95" s="208">
        <f>H95+I94</f>
        <v/>
      </c>
      <c r="J95" s="208">
        <f>I95+J94</f>
        <v/>
      </c>
      <c r="K95" s="208">
        <f>J95+K94</f>
        <v/>
      </c>
      <c r="L95" s="208">
        <f>K95+L94</f>
        <v/>
      </c>
      <c r="M95" s="208">
        <f>L95+M94</f>
        <v/>
      </c>
      <c r="N95" s="208">
        <f>M95+N94</f>
        <v/>
      </c>
      <c r="O95" s="208">
        <f>N95+O94</f>
        <v/>
      </c>
      <c r="P95" s="208">
        <f>O95+P94</f>
        <v/>
      </c>
      <c r="Q95" s="208">
        <f>P95+Q94</f>
        <v/>
      </c>
      <c r="R95" s="208">
        <f>Q95+R94</f>
        <v/>
      </c>
      <c r="S95" s="208">
        <f>R95+S94</f>
        <v/>
      </c>
      <c r="T95" s="208">
        <f>S95+T94</f>
        <v/>
      </c>
      <c r="U95" s="208">
        <f>T95+U94</f>
        <v/>
      </c>
      <c r="V95" s="208">
        <f>U95+V94</f>
        <v/>
      </c>
      <c r="W95" s="208">
        <f>V95+W94</f>
        <v/>
      </c>
      <c r="X95" s="208">
        <f>W95+X94</f>
        <v/>
      </c>
      <c r="Y95" s="208">
        <f>X95+Y94</f>
        <v/>
      </c>
      <c r="Z95" s="208">
        <f>Y95+Z94</f>
        <v/>
      </c>
    </row>
    <row r="96" hidden="1" outlineLevel="1" ht="15" customHeight="1" s="112">
      <c r="A96" s="207" t="inlineStr">
        <is>
          <t>KB0 · Dòng tiền lũy kế</t>
        </is>
      </c>
      <c r="B96" s="208">
        <f>B94</f>
        <v/>
      </c>
      <c r="C96" s="208">
        <f>B96+C94</f>
        <v/>
      </c>
      <c r="D96" s="208">
        <f>C96+D94</f>
        <v/>
      </c>
      <c r="E96" s="208">
        <f>D96+E94</f>
        <v/>
      </c>
      <c r="F96" s="208">
        <f>E96+F94</f>
        <v/>
      </c>
      <c r="G96" s="208">
        <f>F96+G94</f>
        <v/>
      </c>
      <c r="H96" s="208">
        <f>G96+H94</f>
        <v/>
      </c>
      <c r="I96" s="208">
        <f>H96+I94</f>
        <v/>
      </c>
      <c r="J96" s="208">
        <f>I96+J94</f>
        <v/>
      </c>
      <c r="K96" s="208">
        <f>J96+K94</f>
        <v/>
      </c>
      <c r="L96" s="208">
        <f>K96+L94</f>
        <v/>
      </c>
      <c r="M96" s="208">
        <f>L96+M94</f>
        <v/>
      </c>
      <c r="N96" s="208">
        <f>M96+N94</f>
        <v/>
      </c>
      <c r="O96" s="208">
        <f>N96+O94</f>
        <v/>
      </c>
      <c r="P96" s="208">
        <f>O96+P94</f>
        <v/>
      </c>
      <c r="Q96" s="208">
        <f>P96+Q94</f>
        <v/>
      </c>
      <c r="R96" s="208">
        <f>Q96+R94</f>
        <v/>
      </c>
      <c r="S96" s="208">
        <f>R96+S94</f>
        <v/>
      </c>
      <c r="T96" s="208">
        <f>S96+T94</f>
        <v/>
      </c>
      <c r="U96" s="208">
        <f>T96+U94</f>
        <v/>
      </c>
      <c r="V96" s="208">
        <f>U96+V94</f>
        <v/>
      </c>
      <c r="W96" s="208">
        <f>V96+W94</f>
        <v/>
      </c>
      <c r="X96" s="208">
        <f>W96+X94</f>
        <v/>
      </c>
      <c r="Y96" s="208">
        <f>X96+Y94</f>
        <v/>
      </c>
      <c r="Z96" s="208">
        <f>Y96+Z94</f>
        <v/>
      </c>
    </row>
    <row r="97" hidden="1" outlineLevel="1" ht="15" customHeight="1" s="112"/>
    <row r="98" hidden="1" outlineLevel="1" ht="15" customHeight="1" s="112">
      <c r="A98" s="207" t="inlineStr">
        <is>
          <t>KB1 · Khách mới</t>
        </is>
      </c>
      <c r="C98" s="209">
        <f>$D$81*(1+$E$81)^0</f>
        <v/>
      </c>
      <c r="D98" s="209">
        <f>$D$81*(1+$E$81)^1</f>
        <v/>
      </c>
      <c r="E98" s="209">
        <f>$D$81*(1+$E$81)^2</f>
        <v/>
      </c>
      <c r="F98" s="209">
        <f>$D$81*(1+$E$81)^3</f>
        <v/>
      </c>
      <c r="G98" s="209">
        <f>$D$81*(1+$E$81)^4</f>
        <v/>
      </c>
      <c r="H98" s="209">
        <f>$D$81*(1+$E$81)^5</f>
        <v/>
      </c>
      <c r="I98" s="209">
        <f>$D$81*(1+$E$81)^6</f>
        <v/>
      </c>
      <c r="J98" s="209">
        <f>$D$81*(1+$E$81)^7</f>
        <v/>
      </c>
      <c r="K98" s="209">
        <f>$D$81*(1+$E$81)^8</f>
        <v/>
      </c>
      <c r="L98" s="209">
        <f>$D$81*(1+$E$81)^9</f>
        <v/>
      </c>
      <c r="M98" s="209">
        <f>$D$81*(1+$E$81)^10</f>
        <v/>
      </c>
      <c r="N98" s="209">
        <f>$D$81*(1+$E$81)^11</f>
        <v/>
      </c>
      <c r="O98" s="209">
        <f>$D$81*(1+$E$81)^12</f>
        <v/>
      </c>
      <c r="P98" s="209">
        <f>$D$81*(1+$E$81)^13</f>
        <v/>
      </c>
      <c r="Q98" s="209">
        <f>$D$81*(1+$E$81)^14</f>
        <v/>
      </c>
      <c r="R98" s="209">
        <f>$D$81*(1+$E$81)^15</f>
        <v/>
      </c>
      <c r="S98" s="209">
        <f>$D$81*(1+$E$81)^16</f>
        <v/>
      </c>
      <c r="T98" s="209">
        <f>$D$81*(1+$E$81)^17</f>
        <v/>
      </c>
      <c r="U98" s="209">
        <f>$D$81*(1+$E$81)^18</f>
        <v/>
      </c>
      <c r="V98" s="209">
        <f>$D$81*(1+$E$81)^19</f>
        <v/>
      </c>
      <c r="W98" s="209">
        <f>$D$81*(1+$E$81)^20</f>
        <v/>
      </c>
      <c r="X98" s="209">
        <f>$D$81*(1+$E$81)^21</f>
        <v/>
      </c>
      <c r="Y98" s="209">
        <f>$D$81*(1+$E$81)^22</f>
        <v/>
      </c>
      <c r="Z98" s="209">
        <f>$D$81*(1+$E$81)^23</f>
        <v/>
      </c>
    </row>
    <row r="99" hidden="1" outlineLevel="1" ht="15" customHeight="1" s="112">
      <c r="A99" s="207" t="inlineStr">
        <is>
          <t>KB1 · Khách đang dùng</t>
        </is>
      </c>
      <c r="B99" s="207" t="n">
        <v>0</v>
      </c>
      <c r="C99" s="209">
        <f>B99*(1-$F$81)+C98</f>
        <v/>
      </c>
      <c r="D99" s="209">
        <f>C99*(1-$F$81)+D98</f>
        <v/>
      </c>
      <c r="E99" s="209">
        <f>D99*(1-$F$81)+E98</f>
        <v/>
      </c>
      <c r="F99" s="209">
        <f>E99*(1-$F$81)+F98</f>
        <v/>
      </c>
      <c r="G99" s="209">
        <f>F99*(1-$F$81)+G98</f>
        <v/>
      </c>
      <c r="H99" s="209">
        <f>G99*(1-$F$81)+H98</f>
        <v/>
      </c>
      <c r="I99" s="209">
        <f>H99*(1-$F$81)+I98</f>
        <v/>
      </c>
      <c r="J99" s="209">
        <f>I99*(1-$F$81)+J98</f>
        <v/>
      </c>
      <c r="K99" s="209">
        <f>J99*(1-$F$81)+K98</f>
        <v/>
      </c>
      <c r="L99" s="209">
        <f>K99*(1-$F$81)+L98</f>
        <v/>
      </c>
      <c r="M99" s="209">
        <f>L99*(1-$F$81)+M98</f>
        <v/>
      </c>
      <c r="N99" s="209">
        <f>M99*(1-$F$81)+N98</f>
        <v/>
      </c>
      <c r="O99" s="209">
        <f>N99*(1-$F$81)+O98</f>
        <v/>
      </c>
      <c r="P99" s="209">
        <f>O99*(1-$F$81)+P98</f>
        <v/>
      </c>
      <c r="Q99" s="209">
        <f>P99*(1-$F$81)+Q98</f>
        <v/>
      </c>
      <c r="R99" s="209">
        <f>Q99*(1-$F$81)+R98</f>
        <v/>
      </c>
      <c r="S99" s="209">
        <f>R99*(1-$F$81)+S98</f>
        <v/>
      </c>
      <c r="T99" s="209">
        <f>S99*(1-$F$81)+T98</f>
        <v/>
      </c>
      <c r="U99" s="209">
        <f>T99*(1-$F$81)+U98</f>
        <v/>
      </c>
      <c r="V99" s="209">
        <f>U99*(1-$F$81)+V98</f>
        <v/>
      </c>
      <c r="W99" s="209">
        <f>V99*(1-$F$81)+W98</f>
        <v/>
      </c>
      <c r="X99" s="209">
        <f>W99*(1-$F$81)+X98</f>
        <v/>
      </c>
      <c r="Y99" s="209">
        <f>X99*(1-$F$81)+Y98</f>
        <v/>
      </c>
      <c r="Z99" s="209">
        <f>Y99*(1-$F$81)+Z98</f>
        <v/>
      </c>
    </row>
    <row r="100" hidden="1" outlineLevel="1" ht="15" customHeight="1" s="112">
      <c r="A100" s="207" t="inlineStr">
        <is>
          <t>KB1 · Dòng tiền ròng</t>
        </is>
      </c>
      <c r="B100" s="208">
        <f>-$I$81</f>
        <v/>
      </c>
      <c r="C100" s="208">
        <f>C99*($B$81-$C$81)-C98*$G$81-$H$81</f>
        <v/>
      </c>
      <c r="D100" s="208">
        <f>D99*($B$81-$C$81)-D98*$G$81-$H$81</f>
        <v/>
      </c>
      <c r="E100" s="208">
        <f>E99*($B$81-$C$81)-E98*$G$81-$H$81</f>
        <v/>
      </c>
      <c r="F100" s="208">
        <f>F99*($B$81-$C$81)-F98*$G$81-$H$81</f>
        <v/>
      </c>
      <c r="G100" s="208">
        <f>G99*($B$81-$C$81)-G98*$G$81-$H$81</f>
        <v/>
      </c>
      <c r="H100" s="208">
        <f>H99*($B$81-$C$81)-H98*$G$81-$H$81</f>
        <v/>
      </c>
      <c r="I100" s="208">
        <f>I99*($B$81-$C$81)-I98*$G$81-$H$81</f>
        <v/>
      </c>
      <c r="J100" s="208">
        <f>J99*($B$81-$C$81)-J98*$G$81-$H$81</f>
        <v/>
      </c>
      <c r="K100" s="208">
        <f>K99*($B$81-$C$81)-K98*$G$81-$H$81</f>
        <v/>
      </c>
      <c r="L100" s="208">
        <f>L99*($B$81-$C$81)-L98*$G$81-$H$81</f>
        <v/>
      </c>
      <c r="M100" s="208">
        <f>M99*($B$81-$C$81)-M98*$G$81-$H$81</f>
        <v/>
      </c>
      <c r="N100" s="208">
        <f>N99*($B$81-$C$81)-N98*$G$81-$H$81</f>
        <v/>
      </c>
      <c r="O100" s="208">
        <f>O99*($B$81-$C$81)-O98*$G$81-$H$81</f>
        <v/>
      </c>
      <c r="P100" s="208">
        <f>P99*($B$81-$C$81)-P98*$G$81-$H$81</f>
        <v/>
      </c>
      <c r="Q100" s="208">
        <f>Q99*($B$81-$C$81)-Q98*$G$81-$H$81</f>
        <v/>
      </c>
      <c r="R100" s="208">
        <f>R99*($B$81-$C$81)-R98*$G$81-$H$81</f>
        <v/>
      </c>
      <c r="S100" s="208">
        <f>S99*($B$81-$C$81)-S98*$G$81-$H$81</f>
        <v/>
      </c>
      <c r="T100" s="208">
        <f>T99*($B$81-$C$81)-T98*$G$81-$H$81</f>
        <v/>
      </c>
      <c r="U100" s="208">
        <f>U99*($B$81-$C$81)-U98*$G$81-$H$81</f>
        <v/>
      </c>
      <c r="V100" s="208">
        <f>V99*($B$81-$C$81)-V98*$G$81-$H$81</f>
        <v/>
      </c>
      <c r="W100" s="208">
        <f>W99*($B$81-$C$81)-W98*$G$81-$H$81</f>
        <v/>
      </c>
      <c r="X100" s="208">
        <f>X99*($B$81-$C$81)-X98*$G$81-$H$81</f>
        <v/>
      </c>
      <c r="Y100" s="208">
        <f>Y99*($B$81-$C$81)-Y98*$G$81-$H$81</f>
        <v/>
      </c>
      <c r="Z100" s="208">
        <f>Z99*($B$81-$C$81)-Z98*$G$81-$H$81</f>
        <v/>
      </c>
    </row>
    <row r="101" hidden="1" outlineLevel="1" ht="15" customHeight="1" s="112">
      <c r="A101" s="207" t="inlineStr">
        <is>
          <t>KB1 · Tiền mặt cuối kỳ</t>
        </is>
      </c>
      <c r="B101" s="208">
        <f>$J$81+B100</f>
        <v/>
      </c>
      <c r="C101" s="208">
        <f>B101+C100</f>
        <v/>
      </c>
      <c r="D101" s="208">
        <f>C101+D100</f>
        <v/>
      </c>
      <c r="E101" s="208">
        <f>D101+E100</f>
        <v/>
      </c>
      <c r="F101" s="208">
        <f>E101+F100</f>
        <v/>
      </c>
      <c r="G101" s="208">
        <f>F101+G100</f>
        <v/>
      </c>
      <c r="H101" s="208">
        <f>G101+H100</f>
        <v/>
      </c>
      <c r="I101" s="208">
        <f>H101+I100</f>
        <v/>
      </c>
      <c r="J101" s="208">
        <f>I101+J100</f>
        <v/>
      </c>
      <c r="K101" s="208">
        <f>J101+K100</f>
        <v/>
      </c>
      <c r="L101" s="208">
        <f>K101+L100</f>
        <v/>
      </c>
      <c r="M101" s="208">
        <f>L101+M100</f>
        <v/>
      </c>
      <c r="N101" s="208">
        <f>M101+N100</f>
        <v/>
      </c>
      <c r="O101" s="208">
        <f>N101+O100</f>
        <v/>
      </c>
      <c r="P101" s="208">
        <f>O101+P100</f>
        <v/>
      </c>
      <c r="Q101" s="208">
        <f>P101+Q100</f>
        <v/>
      </c>
      <c r="R101" s="208">
        <f>Q101+R100</f>
        <v/>
      </c>
      <c r="S101" s="208">
        <f>R101+S100</f>
        <v/>
      </c>
      <c r="T101" s="208">
        <f>S101+T100</f>
        <v/>
      </c>
      <c r="U101" s="208">
        <f>T101+U100</f>
        <v/>
      </c>
      <c r="V101" s="208">
        <f>U101+V100</f>
        <v/>
      </c>
      <c r="W101" s="208">
        <f>V101+W100</f>
        <v/>
      </c>
      <c r="X101" s="208">
        <f>W101+X100</f>
        <v/>
      </c>
      <c r="Y101" s="208">
        <f>X101+Y100</f>
        <v/>
      </c>
      <c r="Z101" s="208">
        <f>Y101+Z100</f>
        <v/>
      </c>
    </row>
    <row r="102" hidden="1" outlineLevel="1" ht="15" customHeight="1" s="112">
      <c r="A102" s="207" t="inlineStr">
        <is>
          <t>KB1 · Dòng tiền lũy kế</t>
        </is>
      </c>
      <c r="B102" s="208">
        <f>B100</f>
        <v/>
      </c>
      <c r="C102" s="208">
        <f>B102+C100</f>
        <v/>
      </c>
      <c r="D102" s="208">
        <f>C102+D100</f>
        <v/>
      </c>
      <c r="E102" s="208">
        <f>D102+E100</f>
        <v/>
      </c>
      <c r="F102" s="208">
        <f>E102+F100</f>
        <v/>
      </c>
      <c r="G102" s="208">
        <f>F102+G100</f>
        <v/>
      </c>
      <c r="H102" s="208">
        <f>G102+H100</f>
        <v/>
      </c>
      <c r="I102" s="208">
        <f>H102+I100</f>
        <v/>
      </c>
      <c r="J102" s="208">
        <f>I102+J100</f>
        <v/>
      </c>
      <c r="K102" s="208">
        <f>J102+K100</f>
        <v/>
      </c>
      <c r="L102" s="208">
        <f>K102+L100</f>
        <v/>
      </c>
      <c r="M102" s="208">
        <f>L102+M100</f>
        <v/>
      </c>
      <c r="N102" s="208">
        <f>M102+N100</f>
        <v/>
      </c>
      <c r="O102" s="208">
        <f>N102+O100</f>
        <v/>
      </c>
      <c r="P102" s="208">
        <f>O102+P100</f>
        <v/>
      </c>
      <c r="Q102" s="208">
        <f>P102+Q100</f>
        <v/>
      </c>
      <c r="R102" s="208">
        <f>Q102+R100</f>
        <v/>
      </c>
      <c r="S102" s="208">
        <f>R102+S100</f>
        <v/>
      </c>
      <c r="T102" s="208">
        <f>S102+T100</f>
        <v/>
      </c>
      <c r="U102" s="208">
        <f>T102+U100</f>
        <v/>
      </c>
      <c r="V102" s="208">
        <f>U102+V100</f>
        <v/>
      </c>
      <c r="W102" s="208">
        <f>V102+W100</f>
        <v/>
      </c>
      <c r="X102" s="208">
        <f>W102+X100</f>
        <v/>
      </c>
      <c r="Y102" s="208">
        <f>X102+Y100</f>
        <v/>
      </c>
      <c r="Z102" s="208">
        <f>Y102+Z100</f>
        <v/>
      </c>
    </row>
    <row r="103" hidden="1" outlineLevel="1" ht="15" customHeight="1" s="112"/>
    <row r="104" hidden="1" outlineLevel="1" ht="15" customHeight="1" s="112">
      <c r="A104" s="207" t="inlineStr">
        <is>
          <t>KB2 · Khách mới</t>
        </is>
      </c>
      <c r="C104" s="209">
        <f>$D$82*(1+$E$82)^0</f>
        <v/>
      </c>
      <c r="D104" s="209">
        <f>$D$82*(1+$E$82)^1</f>
        <v/>
      </c>
      <c r="E104" s="209">
        <f>$D$82*(1+$E$82)^2</f>
        <v/>
      </c>
      <c r="F104" s="209">
        <f>$D$82*(1+$E$82)^3</f>
        <v/>
      </c>
      <c r="G104" s="209">
        <f>$D$82*(1+$E$82)^4</f>
        <v/>
      </c>
      <c r="H104" s="209">
        <f>$D$82*(1+$E$82)^5</f>
        <v/>
      </c>
      <c r="I104" s="209">
        <f>$D$82*(1+$E$82)^6</f>
        <v/>
      </c>
      <c r="J104" s="209">
        <f>$D$82*(1+$E$82)^7</f>
        <v/>
      </c>
      <c r="K104" s="209">
        <f>$D$82*(1+$E$82)^8</f>
        <v/>
      </c>
      <c r="L104" s="209">
        <f>$D$82*(1+$E$82)^9</f>
        <v/>
      </c>
      <c r="M104" s="209">
        <f>$D$82*(1+$E$82)^10</f>
        <v/>
      </c>
      <c r="N104" s="209">
        <f>$D$82*(1+$E$82)^11</f>
        <v/>
      </c>
      <c r="O104" s="209">
        <f>$D$82*(1+$E$82)^12</f>
        <v/>
      </c>
      <c r="P104" s="209">
        <f>$D$82*(1+$E$82)^13</f>
        <v/>
      </c>
      <c r="Q104" s="209">
        <f>$D$82*(1+$E$82)^14</f>
        <v/>
      </c>
      <c r="R104" s="209">
        <f>$D$82*(1+$E$82)^15</f>
        <v/>
      </c>
      <c r="S104" s="209">
        <f>$D$82*(1+$E$82)^16</f>
        <v/>
      </c>
      <c r="T104" s="209">
        <f>$D$82*(1+$E$82)^17</f>
        <v/>
      </c>
      <c r="U104" s="209">
        <f>$D$82*(1+$E$82)^18</f>
        <v/>
      </c>
      <c r="V104" s="209">
        <f>$D$82*(1+$E$82)^19</f>
        <v/>
      </c>
      <c r="W104" s="209">
        <f>$D$82*(1+$E$82)^20</f>
        <v/>
      </c>
      <c r="X104" s="209">
        <f>$D$82*(1+$E$82)^21</f>
        <v/>
      </c>
      <c r="Y104" s="209">
        <f>$D$82*(1+$E$82)^22</f>
        <v/>
      </c>
      <c r="Z104" s="209">
        <f>$D$82*(1+$E$82)^23</f>
        <v/>
      </c>
    </row>
    <row r="105" hidden="1" outlineLevel="1" ht="15" customHeight="1" s="112">
      <c r="A105" s="207" t="inlineStr">
        <is>
          <t>KB2 · Khách đang dùng</t>
        </is>
      </c>
      <c r="B105" s="207" t="n">
        <v>0</v>
      </c>
      <c r="C105" s="209">
        <f>B105*(1-$F$82)+C104</f>
        <v/>
      </c>
      <c r="D105" s="209">
        <f>C105*(1-$F$82)+D104</f>
        <v/>
      </c>
      <c r="E105" s="209">
        <f>D105*(1-$F$82)+E104</f>
        <v/>
      </c>
      <c r="F105" s="209">
        <f>E105*(1-$F$82)+F104</f>
        <v/>
      </c>
      <c r="G105" s="209">
        <f>F105*(1-$F$82)+G104</f>
        <v/>
      </c>
      <c r="H105" s="209">
        <f>G105*(1-$F$82)+H104</f>
        <v/>
      </c>
      <c r="I105" s="209">
        <f>H105*(1-$F$82)+I104</f>
        <v/>
      </c>
      <c r="J105" s="209">
        <f>I105*(1-$F$82)+J104</f>
        <v/>
      </c>
      <c r="K105" s="209">
        <f>J105*(1-$F$82)+K104</f>
        <v/>
      </c>
      <c r="L105" s="209">
        <f>K105*(1-$F$82)+L104</f>
        <v/>
      </c>
      <c r="M105" s="209">
        <f>L105*(1-$F$82)+M104</f>
        <v/>
      </c>
      <c r="N105" s="209">
        <f>M105*(1-$F$82)+N104</f>
        <v/>
      </c>
      <c r="O105" s="209">
        <f>N105*(1-$F$82)+O104</f>
        <v/>
      </c>
      <c r="P105" s="209">
        <f>O105*(1-$F$82)+P104</f>
        <v/>
      </c>
      <c r="Q105" s="209">
        <f>P105*(1-$F$82)+Q104</f>
        <v/>
      </c>
      <c r="R105" s="209">
        <f>Q105*(1-$F$82)+R104</f>
        <v/>
      </c>
      <c r="S105" s="209">
        <f>R105*(1-$F$82)+S104</f>
        <v/>
      </c>
      <c r="T105" s="209">
        <f>S105*(1-$F$82)+T104</f>
        <v/>
      </c>
      <c r="U105" s="209">
        <f>T105*(1-$F$82)+U104</f>
        <v/>
      </c>
      <c r="V105" s="209">
        <f>U105*(1-$F$82)+V104</f>
        <v/>
      </c>
      <c r="W105" s="209">
        <f>V105*(1-$F$82)+W104</f>
        <v/>
      </c>
      <c r="X105" s="209">
        <f>W105*(1-$F$82)+X104</f>
        <v/>
      </c>
      <c r="Y105" s="209">
        <f>X105*(1-$F$82)+Y104</f>
        <v/>
      </c>
      <c r="Z105" s="209">
        <f>Y105*(1-$F$82)+Z104</f>
        <v/>
      </c>
    </row>
    <row r="106" hidden="1" outlineLevel="1" ht="15" customHeight="1" s="112">
      <c r="A106" s="207" t="inlineStr">
        <is>
          <t>KB2 · Dòng tiền ròng</t>
        </is>
      </c>
      <c r="B106" s="208">
        <f>-$I$82</f>
        <v/>
      </c>
      <c r="C106" s="208">
        <f>C105*($B$82-$C$82)-C104*$G$82-$H$82</f>
        <v/>
      </c>
      <c r="D106" s="208">
        <f>D105*($B$82-$C$82)-D104*$G$82-$H$82</f>
        <v/>
      </c>
      <c r="E106" s="208">
        <f>E105*($B$82-$C$82)-E104*$G$82-$H$82</f>
        <v/>
      </c>
      <c r="F106" s="208">
        <f>F105*($B$82-$C$82)-F104*$G$82-$H$82</f>
        <v/>
      </c>
      <c r="G106" s="208">
        <f>G105*($B$82-$C$82)-G104*$G$82-$H$82</f>
        <v/>
      </c>
      <c r="H106" s="208">
        <f>H105*($B$82-$C$82)-H104*$G$82-$H$82</f>
        <v/>
      </c>
      <c r="I106" s="208">
        <f>I105*($B$82-$C$82)-I104*$G$82-$H$82</f>
        <v/>
      </c>
      <c r="J106" s="208">
        <f>J105*($B$82-$C$82)-J104*$G$82-$H$82</f>
        <v/>
      </c>
      <c r="K106" s="208">
        <f>K105*($B$82-$C$82)-K104*$G$82-$H$82</f>
        <v/>
      </c>
      <c r="L106" s="208">
        <f>L105*($B$82-$C$82)-L104*$G$82-$H$82</f>
        <v/>
      </c>
      <c r="M106" s="208">
        <f>M105*($B$82-$C$82)-M104*$G$82-$H$82</f>
        <v/>
      </c>
      <c r="N106" s="208">
        <f>N105*($B$82-$C$82)-N104*$G$82-$H$82</f>
        <v/>
      </c>
      <c r="O106" s="208">
        <f>O105*($B$82-$C$82)-O104*$G$82-$H$82</f>
        <v/>
      </c>
      <c r="P106" s="208">
        <f>P105*($B$82-$C$82)-P104*$G$82-$H$82</f>
        <v/>
      </c>
      <c r="Q106" s="208">
        <f>Q105*($B$82-$C$82)-Q104*$G$82-$H$82</f>
        <v/>
      </c>
      <c r="R106" s="208">
        <f>R105*($B$82-$C$82)-R104*$G$82-$H$82</f>
        <v/>
      </c>
      <c r="S106" s="208">
        <f>S105*($B$82-$C$82)-S104*$G$82-$H$82</f>
        <v/>
      </c>
      <c r="T106" s="208">
        <f>T105*($B$82-$C$82)-T104*$G$82-$H$82</f>
        <v/>
      </c>
      <c r="U106" s="208">
        <f>U105*($B$82-$C$82)-U104*$G$82-$H$82</f>
        <v/>
      </c>
      <c r="V106" s="208">
        <f>V105*($B$82-$C$82)-V104*$G$82-$H$82</f>
        <v/>
      </c>
      <c r="W106" s="208">
        <f>W105*($B$82-$C$82)-W104*$G$82-$H$82</f>
        <v/>
      </c>
      <c r="X106" s="208">
        <f>X105*($B$82-$C$82)-X104*$G$82-$H$82</f>
        <v/>
      </c>
      <c r="Y106" s="208">
        <f>Y105*($B$82-$C$82)-Y104*$G$82-$H$82</f>
        <v/>
      </c>
      <c r="Z106" s="208">
        <f>Z105*($B$82-$C$82)-Z104*$G$82-$H$82</f>
        <v/>
      </c>
    </row>
    <row r="107" hidden="1" outlineLevel="1" ht="15" customHeight="1" s="112">
      <c r="A107" s="207" t="inlineStr">
        <is>
          <t>KB2 · Tiền mặt cuối kỳ</t>
        </is>
      </c>
      <c r="B107" s="208">
        <f>$J$82+B106</f>
        <v/>
      </c>
      <c r="C107" s="208">
        <f>B107+C106</f>
        <v/>
      </c>
      <c r="D107" s="208">
        <f>C107+D106</f>
        <v/>
      </c>
      <c r="E107" s="208">
        <f>D107+E106</f>
        <v/>
      </c>
      <c r="F107" s="208">
        <f>E107+F106</f>
        <v/>
      </c>
      <c r="G107" s="208">
        <f>F107+G106</f>
        <v/>
      </c>
      <c r="H107" s="208">
        <f>G107+H106</f>
        <v/>
      </c>
      <c r="I107" s="208">
        <f>H107+I106</f>
        <v/>
      </c>
      <c r="J107" s="208">
        <f>I107+J106</f>
        <v/>
      </c>
      <c r="K107" s="208">
        <f>J107+K106</f>
        <v/>
      </c>
      <c r="L107" s="208">
        <f>K107+L106</f>
        <v/>
      </c>
      <c r="M107" s="208">
        <f>L107+M106</f>
        <v/>
      </c>
      <c r="N107" s="208">
        <f>M107+N106</f>
        <v/>
      </c>
      <c r="O107" s="208">
        <f>N107+O106</f>
        <v/>
      </c>
      <c r="P107" s="208">
        <f>O107+P106</f>
        <v/>
      </c>
      <c r="Q107" s="208">
        <f>P107+Q106</f>
        <v/>
      </c>
      <c r="R107" s="208">
        <f>Q107+R106</f>
        <v/>
      </c>
      <c r="S107" s="208">
        <f>R107+S106</f>
        <v/>
      </c>
      <c r="T107" s="208">
        <f>S107+T106</f>
        <v/>
      </c>
      <c r="U107" s="208">
        <f>T107+U106</f>
        <v/>
      </c>
      <c r="V107" s="208">
        <f>U107+V106</f>
        <v/>
      </c>
      <c r="W107" s="208">
        <f>V107+W106</f>
        <v/>
      </c>
      <c r="X107" s="208">
        <f>W107+X106</f>
        <v/>
      </c>
      <c r="Y107" s="208">
        <f>X107+Y106</f>
        <v/>
      </c>
      <c r="Z107" s="208">
        <f>Y107+Z106</f>
        <v/>
      </c>
    </row>
    <row r="108" hidden="1" outlineLevel="1" ht="15" customHeight="1" s="112">
      <c r="A108" s="207" t="inlineStr">
        <is>
          <t>KB2 · Dòng tiền lũy kế</t>
        </is>
      </c>
      <c r="B108" s="208">
        <f>B106</f>
        <v/>
      </c>
      <c r="C108" s="208">
        <f>B108+C106</f>
        <v/>
      </c>
      <c r="D108" s="208">
        <f>C108+D106</f>
        <v/>
      </c>
      <c r="E108" s="208">
        <f>D108+E106</f>
        <v/>
      </c>
      <c r="F108" s="208">
        <f>E108+F106</f>
        <v/>
      </c>
      <c r="G108" s="208">
        <f>F108+G106</f>
        <v/>
      </c>
      <c r="H108" s="208">
        <f>G108+H106</f>
        <v/>
      </c>
      <c r="I108" s="208">
        <f>H108+I106</f>
        <v/>
      </c>
      <c r="J108" s="208">
        <f>I108+J106</f>
        <v/>
      </c>
      <c r="K108" s="208">
        <f>J108+K106</f>
        <v/>
      </c>
      <c r="L108" s="208">
        <f>K108+L106</f>
        <v/>
      </c>
      <c r="M108" s="208">
        <f>L108+M106</f>
        <v/>
      </c>
      <c r="N108" s="208">
        <f>M108+N106</f>
        <v/>
      </c>
      <c r="O108" s="208">
        <f>N108+O106</f>
        <v/>
      </c>
      <c r="P108" s="208">
        <f>O108+P106</f>
        <v/>
      </c>
      <c r="Q108" s="208">
        <f>P108+Q106</f>
        <v/>
      </c>
      <c r="R108" s="208">
        <f>Q108+R106</f>
        <v/>
      </c>
      <c r="S108" s="208">
        <f>R108+S106</f>
        <v/>
      </c>
      <c r="T108" s="208">
        <f>S108+T106</f>
        <v/>
      </c>
      <c r="U108" s="208">
        <f>T108+U106</f>
        <v/>
      </c>
      <c r="V108" s="208">
        <f>U108+V106</f>
        <v/>
      </c>
      <c r="W108" s="208">
        <f>V108+W106</f>
        <v/>
      </c>
      <c r="X108" s="208">
        <f>W108+X106</f>
        <v/>
      </c>
      <c r="Y108" s="208">
        <f>X108+Y106</f>
        <v/>
      </c>
      <c r="Z108" s="208">
        <f>Y108+Z106</f>
        <v/>
      </c>
    </row>
    <row r="109" hidden="1" outlineLevel="1" ht="15" customHeight="1" s="112"/>
    <row r="110" hidden="1" outlineLevel="1" ht="15" customHeight="1" s="112">
      <c r="A110" s="207" t="inlineStr">
        <is>
          <t>KB3 · Khách mới</t>
        </is>
      </c>
      <c r="C110" s="209">
        <f>$D$83*(1+$E$83)^0</f>
        <v/>
      </c>
      <c r="D110" s="209">
        <f>$D$83*(1+$E$83)^1</f>
        <v/>
      </c>
      <c r="E110" s="209">
        <f>$D$83*(1+$E$83)^2</f>
        <v/>
      </c>
      <c r="F110" s="209">
        <f>$D$83*(1+$E$83)^3</f>
        <v/>
      </c>
      <c r="G110" s="209">
        <f>$D$83*(1+$E$83)^4</f>
        <v/>
      </c>
      <c r="H110" s="209">
        <f>$D$83*(1+$E$83)^5</f>
        <v/>
      </c>
      <c r="I110" s="209">
        <f>$D$83*(1+$E$83)^6</f>
        <v/>
      </c>
      <c r="J110" s="209">
        <f>$D$83*(1+$E$83)^7</f>
        <v/>
      </c>
      <c r="K110" s="209">
        <f>$D$83*(1+$E$83)^8</f>
        <v/>
      </c>
      <c r="L110" s="209">
        <f>$D$83*(1+$E$83)^9</f>
        <v/>
      </c>
      <c r="M110" s="209">
        <f>$D$83*(1+$E$83)^10</f>
        <v/>
      </c>
      <c r="N110" s="209">
        <f>$D$83*(1+$E$83)^11</f>
        <v/>
      </c>
      <c r="O110" s="209">
        <f>$D$83*(1+$E$83)^12</f>
        <v/>
      </c>
      <c r="P110" s="209">
        <f>$D$83*(1+$E$83)^13</f>
        <v/>
      </c>
      <c r="Q110" s="209">
        <f>$D$83*(1+$E$83)^14</f>
        <v/>
      </c>
      <c r="R110" s="209">
        <f>$D$83*(1+$E$83)^15</f>
        <v/>
      </c>
      <c r="S110" s="209">
        <f>$D$83*(1+$E$83)^16</f>
        <v/>
      </c>
      <c r="T110" s="209">
        <f>$D$83*(1+$E$83)^17</f>
        <v/>
      </c>
      <c r="U110" s="209">
        <f>$D$83*(1+$E$83)^18</f>
        <v/>
      </c>
      <c r="V110" s="209">
        <f>$D$83*(1+$E$83)^19</f>
        <v/>
      </c>
      <c r="W110" s="209">
        <f>$D$83*(1+$E$83)^20</f>
        <v/>
      </c>
      <c r="X110" s="209">
        <f>$D$83*(1+$E$83)^21</f>
        <v/>
      </c>
      <c r="Y110" s="209">
        <f>$D$83*(1+$E$83)^22</f>
        <v/>
      </c>
      <c r="Z110" s="209">
        <f>$D$83*(1+$E$83)^23</f>
        <v/>
      </c>
    </row>
    <row r="111" hidden="1" outlineLevel="1" ht="15" customHeight="1" s="112">
      <c r="A111" s="207" t="inlineStr">
        <is>
          <t>KB3 · Khách đang dùng</t>
        </is>
      </c>
      <c r="B111" s="207" t="n">
        <v>0</v>
      </c>
      <c r="C111" s="209">
        <f>B111*(1-$F$83)+C110</f>
        <v/>
      </c>
      <c r="D111" s="209">
        <f>C111*(1-$F$83)+D110</f>
        <v/>
      </c>
      <c r="E111" s="209">
        <f>D111*(1-$F$83)+E110</f>
        <v/>
      </c>
      <c r="F111" s="209">
        <f>E111*(1-$F$83)+F110</f>
        <v/>
      </c>
      <c r="G111" s="209">
        <f>F111*(1-$F$83)+G110</f>
        <v/>
      </c>
      <c r="H111" s="209">
        <f>G111*(1-$F$83)+H110</f>
        <v/>
      </c>
      <c r="I111" s="209">
        <f>H111*(1-$F$83)+I110</f>
        <v/>
      </c>
      <c r="J111" s="209">
        <f>I111*(1-$F$83)+J110</f>
        <v/>
      </c>
      <c r="K111" s="209">
        <f>J111*(1-$F$83)+K110</f>
        <v/>
      </c>
      <c r="L111" s="209">
        <f>K111*(1-$F$83)+L110</f>
        <v/>
      </c>
      <c r="M111" s="209">
        <f>L111*(1-$F$83)+M110</f>
        <v/>
      </c>
      <c r="N111" s="209">
        <f>M111*(1-$F$83)+N110</f>
        <v/>
      </c>
      <c r="O111" s="209">
        <f>N111*(1-$F$83)+O110</f>
        <v/>
      </c>
      <c r="P111" s="209">
        <f>O111*(1-$F$83)+P110</f>
        <v/>
      </c>
      <c r="Q111" s="209">
        <f>P111*(1-$F$83)+Q110</f>
        <v/>
      </c>
      <c r="R111" s="209">
        <f>Q111*(1-$F$83)+R110</f>
        <v/>
      </c>
      <c r="S111" s="209">
        <f>R111*(1-$F$83)+S110</f>
        <v/>
      </c>
      <c r="T111" s="209">
        <f>S111*(1-$F$83)+T110</f>
        <v/>
      </c>
      <c r="U111" s="209">
        <f>T111*(1-$F$83)+U110</f>
        <v/>
      </c>
      <c r="V111" s="209">
        <f>U111*(1-$F$83)+V110</f>
        <v/>
      </c>
      <c r="W111" s="209">
        <f>V111*(1-$F$83)+W110</f>
        <v/>
      </c>
      <c r="X111" s="209">
        <f>W111*(1-$F$83)+X110</f>
        <v/>
      </c>
      <c r="Y111" s="209">
        <f>X111*(1-$F$83)+Y110</f>
        <v/>
      </c>
      <c r="Z111" s="209">
        <f>Y111*(1-$F$83)+Z110</f>
        <v/>
      </c>
    </row>
    <row r="112" hidden="1" outlineLevel="1" ht="15" customHeight="1" s="112">
      <c r="A112" s="207" t="inlineStr">
        <is>
          <t>KB3 · Dòng tiền ròng</t>
        </is>
      </c>
      <c r="B112" s="208">
        <f>-$I$83</f>
        <v/>
      </c>
      <c r="C112" s="208">
        <f>C111*($B$83-$C$83)-C110*$G$83-$H$83</f>
        <v/>
      </c>
      <c r="D112" s="208">
        <f>D111*($B$83-$C$83)-D110*$G$83-$H$83</f>
        <v/>
      </c>
      <c r="E112" s="208">
        <f>E111*($B$83-$C$83)-E110*$G$83-$H$83</f>
        <v/>
      </c>
      <c r="F112" s="208">
        <f>F111*($B$83-$C$83)-F110*$G$83-$H$83</f>
        <v/>
      </c>
      <c r="G112" s="208">
        <f>G111*($B$83-$C$83)-G110*$G$83-$H$83</f>
        <v/>
      </c>
      <c r="H112" s="208">
        <f>H111*($B$83-$C$83)-H110*$G$83-$H$83</f>
        <v/>
      </c>
      <c r="I112" s="208">
        <f>I111*($B$83-$C$83)-I110*$G$83-$H$83</f>
        <v/>
      </c>
      <c r="J112" s="208">
        <f>J111*($B$83-$C$83)-J110*$G$83-$H$83</f>
        <v/>
      </c>
      <c r="K112" s="208">
        <f>K111*($B$83-$C$83)-K110*$G$83-$H$83</f>
        <v/>
      </c>
      <c r="L112" s="208">
        <f>L111*($B$83-$C$83)-L110*$G$83-$H$83</f>
        <v/>
      </c>
      <c r="M112" s="208">
        <f>M111*($B$83-$C$83)-M110*$G$83-$H$83</f>
        <v/>
      </c>
      <c r="N112" s="208">
        <f>N111*($B$83-$C$83)-N110*$G$83-$H$83</f>
        <v/>
      </c>
      <c r="O112" s="208">
        <f>O111*($B$83-$C$83)-O110*$G$83-$H$83</f>
        <v/>
      </c>
      <c r="P112" s="208">
        <f>P111*($B$83-$C$83)-P110*$G$83-$H$83</f>
        <v/>
      </c>
      <c r="Q112" s="208">
        <f>Q111*($B$83-$C$83)-Q110*$G$83-$H$83</f>
        <v/>
      </c>
      <c r="R112" s="208">
        <f>R111*($B$83-$C$83)-R110*$G$83-$H$83</f>
        <v/>
      </c>
      <c r="S112" s="208">
        <f>S111*($B$83-$C$83)-S110*$G$83-$H$83</f>
        <v/>
      </c>
      <c r="T112" s="208">
        <f>T111*($B$83-$C$83)-T110*$G$83-$H$83</f>
        <v/>
      </c>
      <c r="U112" s="208">
        <f>U111*($B$83-$C$83)-U110*$G$83-$H$83</f>
        <v/>
      </c>
      <c r="V112" s="208">
        <f>V111*($B$83-$C$83)-V110*$G$83-$H$83</f>
        <v/>
      </c>
      <c r="W112" s="208">
        <f>W111*($B$83-$C$83)-W110*$G$83-$H$83</f>
        <v/>
      </c>
      <c r="X112" s="208">
        <f>X111*($B$83-$C$83)-X110*$G$83-$H$83</f>
        <v/>
      </c>
      <c r="Y112" s="208">
        <f>Y111*($B$83-$C$83)-Y110*$G$83-$H$83</f>
        <v/>
      </c>
      <c r="Z112" s="208">
        <f>Z111*($B$83-$C$83)-Z110*$G$83-$H$83</f>
        <v/>
      </c>
    </row>
    <row r="113" hidden="1" outlineLevel="1" ht="15" customHeight="1" s="112">
      <c r="A113" s="207" t="inlineStr">
        <is>
          <t>KB3 · Tiền mặt cuối kỳ</t>
        </is>
      </c>
      <c r="B113" s="208">
        <f>$J$83+B112</f>
        <v/>
      </c>
      <c r="C113" s="208">
        <f>B113+C112</f>
        <v/>
      </c>
      <c r="D113" s="208">
        <f>C113+D112</f>
        <v/>
      </c>
      <c r="E113" s="208">
        <f>D113+E112</f>
        <v/>
      </c>
      <c r="F113" s="208">
        <f>E113+F112</f>
        <v/>
      </c>
      <c r="G113" s="208">
        <f>F113+G112</f>
        <v/>
      </c>
      <c r="H113" s="208">
        <f>G113+H112</f>
        <v/>
      </c>
      <c r="I113" s="208">
        <f>H113+I112</f>
        <v/>
      </c>
      <c r="J113" s="208">
        <f>I113+J112</f>
        <v/>
      </c>
      <c r="K113" s="208">
        <f>J113+K112</f>
        <v/>
      </c>
      <c r="L113" s="208">
        <f>K113+L112</f>
        <v/>
      </c>
      <c r="M113" s="208">
        <f>L113+M112</f>
        <v/>
      </c>
      <c r="N113" s="208">
        <f>M113+N112</f>
        <v/>
      </c>
      <c r="O113" s="208">
        <f>N113+O112</f>
        <v/>
      </c>
      <c r="P113" s="208">
        <f>O113+P112</f>
        <v/>
      </c>
      <c r="Q113" s="208">
        <f>P113+Q112</f>
        <v/>
      </c>
      <c r="R113" s="208">
        <f>Q113+R112</f>
        <v/>
      </c>
      <c r="S113" s="208">
        <f>R113+S112</f>
        <v/>
      </c>
      <c r="T113" s="208">
        <f>S113+T112</f>
        <v/>
      </c>
      <c r="U113" s="208">
        <f>T113+U112</f>
        <v/>
      </c>
      <c r="V113" s="208">
        <f>U113+V112</f>
        <v/>
      </c>
      <c r="W113" s="208">
        <f>V113+W112</f>
        <v/>
      </c>
      <c r="X113" s="208">
        <f>W113+X112</f>
        <v/>
      </c>
      <c r="Y113" s="208">
        <f>X113+Y112</f>
        <v/>
      </c>
      <c r="Z113" s="208">
        <f>Y113+Z112</f>
        <v/>
      </c>
    </row>
    <row r="114" hidden="1" outlineLevel="1" ht="15" customHeight="1" s="112">
      <c r="A114" s="207" t="inlineStr">
        <is>
          <t>KB3 · Dòng tiền lũy kế</t>
        </is>
      </c>
      <c r="B114" s="208">
        <f>B112</f>
        <v/>
      </c>
      <c r="C114" s="208">
        <f>B114+C112</f>
        <v/>
      </c>
      <c r="D114" s="208">
        <f>C114+D112</f>
        <v/>
      </c>
      <c r="E114" s="208">
        <f>D114+E112</f>
        <v/>
      </c>
      <c r="F114" s="208">
        <f>E114+F112</f>
        <v/>
      </c>
      <c r="G114" s="208">
        <f>F114+G112</f>
        <v/>
      </c>
      <c r="H114" s="208">
        <f>G114+H112</f>
        <v/>
      </c>
      <c r="I114" s="208">
        <f>H114+I112</f>
        <v/>
      </c>
      <c r="J114" s="208">
        <f>I114+J112</f>
        <v/>
      </c>
      <c r="K114" s="208">
        <f>J114+K112</f>
        <v/>
      </c>
      <c r="L114" s="208">
        <f>K114+L112</f>
        <v/>
      </c>
      <c r="M114" s="208">
        <f>L114+M112</f>
        <v/>
      </c>
      <c r="N114" s="208">
        <f>M114+N112</f>
        <v/>
      </c>
      <c r="O114" s="208">
        <f>N114+O112</f>
        <v/>
      </c>
      <c r="P114" s="208">
        <f>O114+P112</f>
        <v/>
      </c>
      <c r="Q114" s="208">
        <f>P114+Q112</f>
        <v/>
      </c>
      <c r="R114" s="208">
        <f>Q114+R112</f>
        <v/>
      </c>
      <c r="S114" s="208">
        <f>R114+S112</f>
        <v/>
      </c>
      <c r="T114" s="208">
        <f>S114+T112</f>
        <v/>
      </c>
      <c r="U114" s="208">
        <f>T114+U112</f>
        <v/>
      </c>
      <c r="V114" s="208">
        <f>U114+V112</f>
        <v/>
      </c>
      <c r="W114" s="208">
        <f>V114+W112</f>
        <v/>
      </c>
      <c r="X114" s="208">
        <f>W114+X112</f>
        <v/>
      </c>
      <c r="Y114" s="208">
        <f>X114+Y112</f>
        <v/>
      </c>
      <c r="Z114" s="208">
        <f>Y114+Z112</f>
        <v/>
      </c>
    </row>
    <row r="115" hidden="1" outlineLevel="1" ht="15" customHeight="1" s="112"/>
    <row r="116" hidden="1" outlineLevel="1" ht="15" customHeight="1" s="112">
      <c r="A116" s="207" t="inlineStr">
        <is>
          <t>KB4 · Khách mới</t>
        </is>
      </c>
      <c r="C116" s="209">
        <f>$D$84*(1+$E$84)^0</f>
        <v/>
      </c>
      <c r="D116" s="209">
        <f>$D$84*(1+$E$84)^1</f>
        <v/>
      </c>
      <c r="E116" s="209">
        <f>$D$84*(1+$E$84)^2</f>
        <v/>
      </c>
      <c r="F116" s="209">
        <f>$D$84*(1+$E$84)^3</f>
        <v/>
      </c>
      <c r="G116" s="209">
        <f>$D$84*(1+$E$84)^4</f>
        <v/>
      </c>
      <c r="H116" s="209">
        <f>$D$84*(1+$E$84)^5</f>
        <v/>
      </c>
      <c r="I116" s="209">
        <f>$D$84*(1+$E$84)^6</f>
        <v/>
      </c>
      <c r="J116" s="209">
        <f>$D$84*(1+$E$84)^7</f>
        <v/>
      </c>
      <c r="K116" s="209">
        <f>$D$84*(1+$E$84)^8</f>
        <v/>
      </c>
      <c r="L116" s="209">
        <f>$D$84*(1+$E$84)^9</f>
        <v/>
      </c>
      <c r="M116" s="209">
        <f>$D$84*(1+$E$84)^10</f>
        <v/>
      </c>
      <c r="N116" s="209">
        <f>$D$84*(1+$E$84)^11</f>
        <v/>
      </c>
      <c r="O116" s="209">
        <f>$D$84*(1+$E$84)^12</f>
        <v/>
      </c>
      <c r="P116" s="209">
        <f>$D$84*(1+$E$84)^13</f>
        <v/>
      </c>
      <c r="Q116" s="209">
        <f>$D$84*(1+$E$84)^14</f>
        <v/>
      </c>
      <c r="R116" s="209">
        <f>$D$84*(1+$E$84)^15</f>
        <v/>
      </c>
      <c r="S116" s="209">
        <f>$D$84*(1+$E$84)^16</f>
        <v/>
      </c>
      <c r="T116" s="209">
        <f>$D$84*(1+$E$84)^17</f>
        <v/>
      </c>
      <c r="U116" s="209">
        <f>$D$84*(1+$E$84)^18</f>
        <v/>
      </c>
      <c r="V116" s="209">
        <f>$D$84*(1+$E$84)^19</f>
        <v/>
      </c>
      <c r="W116" s="209">
        <f>$D$84*(1+$E$84)^20</f>
        <v/>
      </c>
      <c r="X116" s="209">
        <f>$D$84*(1+$E$84)^21</f>
        <v/>
      </c>
      <c r="Y116" s="209">
        <f>$D$84*(1+$E$84)^22</f>
        <v/>
      </c>
      <c r="Z116" s="209">
        <f>$D$84*(1+$E$84)^23</f>
        <v/>
      </c>
    </row>
    <row r="117" hidden="1" outlineLevel="1" ht="15" customHeight="1" s="112">
      <c r="A117" s="207" t="inlineStr">
        <is>
          <t>KB4 · Khách đang dùng</t>
        </is>
      </c>
      <c r="B117" s="207" t="n">
        <v>0</v>
      </c>
      <c r="C117" s="209">
        <f>B117*(1-$F$84)+C116</f>
        <v/>
      </c>
      <c r="D117" s="209">
        <f>C117*(1-$F$84)+D116</f>
        <v/>
      </c>
      <c r="E117" s="209">
        <f>D117*(1-$F$84)+E116</f>
        <v/>
      </c>
      <c r="F117" s="209">
        <f>E117*(1-$F$84)+F116</f>
        <v/>
      </c>
      <c r="G117" s="209">
        <f>F117*(1-$F$84)+G116</f>
        <v/>
      </c>
      <c r="H117" s="209">
        <f>G117*(1-$F$84)+H116</f>
        <v/>
      </c>
      <c r="I117" s="209">
        <f>H117*(1-$F$84)+I116</f>
        <v/>
      </c>
      <c r="J117" s="209">
        <f>I117*(1-$F$84)+J116</f>
        <v/>
      </c>
      <c r="K117" s="209">
        <f>J117*(1-$F$84)+K116</f>
        <v/>
      </c>
      <c r="L117" s="209">
        <f>K117*(1-$F$84)+L116</f>
        <v/>
      </c>
      <c r="M117" s="209">
        <f>L117*(1-$F$84)+M116</f>
        <v/>
      </c>
      <c r="N117" s="209">
        <f>M117*(1-$F$84)+N116</f>
        <v/>
      </c>
      <c r="O117" s="209">
        <f>N117*(1-$F$84)+O116</f>
        <v/>
      </c>
      <c r="P117" s="209">
        <f>O117*(1-$F$84)+P116</f>
        <v/>
      </c>
      <c r="Q117" s="209">
        <f>P117*(1-$F$84)+Q116</f>
        <v/>
      </c>
      <c r="R117" s="209">
        <f>Q117*(1-$F$84)+R116</f>
        <v/>
      </c>
      <c r="S117" s="209">
        <f>R117*(1-$F$84)+S116</f>
        <v/>
      </c>
      <c r="T117" s="209">
        <f>S117*(1-$F$84)+T116</f>
        <v/>
      </c>
      <c r="U117" s="209">
        <f>T117*(1-$F$84)+U116</f>
        <v/>
      </c>
      <c r="V117" s="209">
        <f>U117*(1-$F$84)+V116</f>
        <v/>
      </c>
      <c r="W117" s="209">
        <f>V117*(1-$F$84)+W116</f>
        <v/>
      </c>
      <c r="X117" s="209">
        <f>W117*(1-$F$84)+X116</f>
        <v/>
      </c>
      <c r="Y117" s="209">
        <f>X117*(1-$F$84)+Y116</f>
        <v/>
      </c>
      <c r="Z117" s="209">
        <f>Y117*(1-$F$84)+Z116</f>
        <v/>
      </c>
    </row>
    <row r="118" hidden="1" outlineLevel="1" ht="15" customHeight="1" s="112">
      <c r="A118" s="207" t="inlineStr">
        <is>
          <t>KB4 · Dòng tiền ròng</t>
        </is>
      </c>
      <c r="B118" s="208">
        <f>-$I$84</f>
        <v/>
      </c>
      <c r="C118" s="208">
        <f>C117*($B$84-$C$84)-C116*$G$84-$H$84</f>
        <v/>
      </c>
      <c r="D118" s="208">
        <f>D117*($B$84-$C$84)-D116*$G$84-$H$84</f>
        <v/>
      </c>
      <c r="E118" s="208">
        <f>E117*($B$84-$C$84)-E116*$G$84-$H$84</f>
        <v/>
      </c>
      <c r="F118" s="208">
        <f>F117*($B$84-$C$84)-F116*$G$84-$H$84</f>
        <v/>
      </c>
      <c r="G118" s="208">
        <f>G117*($B$84-$C$84)-G116*$G$84-$H$84</f>
        <v/>
      </c>
      <c r="H118" s="208">
        <f>H117*($B$84-$C$84)-H116*$G$84-$H$84</f>
        <v/>
      </c>
      <c r="I118" s="208">
        <f>I117*($B$84-$C$84)-I116*$G$84-$H$84</f>
        <v/>
      </c>
      <c r="J118" s="208">
        <f>J117*($B$84-$C$84)-J116*$G$84-$H$84</f>
        <v/>
      </c>
      <c r="K118" s="208">
        <f>K117*($B$84-$C$84)-K116*$G$84-$H$84</f>
        <v/>
      </c>
      <c r="L118" s="208">
        <f>L117*($B$84-$C$84)-L116*$G$84-$H$84</f>
        <v/>
      </c>
      <c r="M118" s="208">
        <f>M117*($B$84-$C$84)-M116*$G$84-$H$84</f>
        <v/>
      </c>
      <c r="N118" s="208">
        <f>N117*($B$84-$C$84)-N116*$G$84-$H$84</f>
        <v/>
      </c>
      <c r="O118" s="208">
        <f>O117*($B$84-$C$84)-O116*$G$84-$H$84</f>
        <v/>
      </c>
      <c r="P118" s="208">
        <f>P117*($B$84-$C$84)-P116*$G$84-$H$84</f>
        <v/>
      </c>
      <c r="Q118" s="208">
        <f>Q117*($B$84-$C$84)-Q116*$G$84-$H$84</f>
        <v/>
      </c>
      <c r="R118" s="208">
        <f>R117*($B$84-$C$84)-R116*$G$84-$H$84</f>
        <v/>
      </c>
      <c r="S118" s="208">
        <f>S117*($B$84-$C$84)-S116*$G$84-$H$84</f>
        <v/>
      </c>
      <c r="T118" s="208">
        <f>T117*($B$84-$C$84)-T116*$G$84-$H$84</f>
        <v/>
      </c>
      <c r="U118" s="208">
        <f>U117*($B$84-$C$84)-U116*$G$84-$H$84</f>
        <v/>
      </c>
      <c r="V118" s="208">
        <f>V117*($B$84-$C$84)-V116*$G$84-$H$84</f>
        <v/>
      </c>
      <c r="W118" s="208">
        <f>W117*($B$84-$C$84)-W116*$G$84-$H$84</f>
        <v/>
      </c>
      <c r="X118" s="208">
        <f>X117*($B$84-$C$84)-X116*$G$84-$H$84</f>
        <v/>
      </c>
      <c r="Y118" s="208">
        <f>Y117*($B$84-$C$84)-Y116*$G$84-$H$84</f>
        <v/>
      </c>
      <c r="Z118" s="208">
        <f>Z117*($B$84-$C$84)-Z116*$G$84-$H$84</f>
        <v/>
      </c>
    </row>
    <row r="119" hidden="1" outlineLevel="1" ht="15" customHeight="1" s="112">
      <c r="A119" s="207" t="inlineStr">
        <is>
          <t>KB4 · Tiền mặt cuối kỳ</t>
        </is>
      </c>
      <c r="B119" s="208">
        <f>$J$84+B118</f>
        <v/>
      </c>
      <c r="C119" s="208">
        <f>B119+C118</f>
        <v/>
      </c>
      <c r="D119" s="208">
        <f>C119+D118</f>
        <v/>
      </c>
      <c r="E119" s="208">
        <f>D119+E118</f>
        <v/>
      </c>
      <c r="F119" s="208">
        <f>E119+F118</f>
        <v/>
      </c>
      <c r="G119" s="208">
        <f>F119+G118</f>
        <v/>
      </c>
      <c r="H119" s="208">
        <f>G119+H118</f>
        <v/>
      </c>
      <c r="I119" s="208">
        <f>H119+I118</f>
        <v/>
      </c>
      <c r="J119" s="208">
        <f>I119+J118</f>
        <v/>
      </c>
      <c r="K119" s="208">
        <f>J119+K118</f>
        <v/>
      </c>
      <c r="L119" s="208">
        <f>K119+L118</f>
        <v/>
      </c>
      <c r="M119" s="208">
        <f>L119+M118</f>
        <v/>
      </c>
      <c r="N119" s="208">
        <f>M119+N118</f>
        <v/>
      </c>
      <c r="O119" s="208">
        <f>N119+O118</f>
        <v/>
      </c>
      <c r="P119" s="208">
        <f>O119+P118</f>
        <v/>
      </c>
      <c r="Q119" s="208">
        <f>P119+Q118</f>
        <v/>
      </c>
      <c r="R119" s="208">
        <f>Q119+R118</f>
        <v/>
      </c>
      <c r="S119" s="208">
        <f>R119+S118</f>
        <v/>
      </c>
      <c r="T119" s="208">
        <f>S119+T118</f>
        <v/>
      </c>
      <c r="U119" s="208">
        <f>T119+U118</f>
        <v/>
      </c>
      <c r="V119" s="208">
        <f>U119+V118</f>
        <v/>
      </c>
      <c r="W119" s="208">
        <f>V119+W118</f>
        <v/>
      </c>
      <c r="X119" s="208">
        <f>W119+X118</f>
        <v/>
      </c>
      <c r="Y119" s="208">
        <f>X119+Y118</f>
        <v/>
      </c>
      <c r="Z119" s="208">
        <f>Y119+Z118</f>
        <v/>
      </c>
    </row>
    <row r="120" hidden="1" outlineLevel="1" ht="15" customHeight="1" s="112">
      <c r="A120" s="207" t="inlineStr">
        <is>
          <t>KB4 · Dòng tiền lũy kế</t>
        </is>
      </c>
      <c r="B120" s="208">
        <f>B118</f>
        <v/>
      </c>
      <c r="C120" s="208">
        <f>B120+C118</f>
        <v/>
      </c>
      <c r="D120" s="208">
        <f>C120+D118</f>
        <v/>
      </c>
      <c r="E120" s="208">
        <f>D120+E118</f>
        <v/>
      </c>
      <c r="F120" s="208">
        <f>E120+F118</f>
        <v/>
      </c>
      <c r="G120" s="208">
        <f>F120+G118</f>
        <v/>
      </c>
      <c r="H120" s="208">
        <f>G120+H118</f>
        <v/>
      </c>
      <c r="I120" s="208">
        <f>H120+I118</f>
        <v/>
      </c>
      <c r="J120" s="208">
        <f>I120+J118</f>
        <v/>
      </c>
      <c r="K120" s="208">
        <f>J120+K118</f>
        <v/>
      </c>
      <c r="L120" s="208">
        <f>K120+L118</f>
        <v/>
      </c>
      <c r="M120" s="208">
        <f>L120+M118</f>
        <v/>
      </c>
      <c r="N120" s="208">
        <f>M120+N118</f>
        <v/>
      </c>
      <c r="O120" s="208">
        <f>N120+O118</f>
        <v/>
      </c>
      <c r="P120" s="208">
        <f>O120+P118</f>
        <v/>
      </c>
      <c r="Q120" s="208">
        <f>P120+Q118</f>
        <v/>
      </c>
      <c r="R120" s="208">
        <f>Q120+R118</f>
        <v/>
      </c>
      <c r="S120" s="208">
        <f>R120+S118</f>
        <v/>
      </c>
      <c r="T120" s="208">
        <f>S120+T118</f>
        <v/>
      </c>
      <c r="U120" s="208">
        <f>T120+U118</f>
        <v/>
      </c>
      <c r="V120" s="208">
        <f>U120+V118</f>
        <v/>
      </c>
      <c r="W120" s="208">
        <f>V120+W118</f>
        <v/>
      </c>
      <c r="X120" s="208">
        <f>W120+X118</f>
        <v/>
      </c>
      <c r="Y120" s="208">
        <f>X120+Y118</f>
        <v/>
      </c>
      <c r="Z120" s="208">
        <f>Y120+Z118</f>
        <v/>
      </c>
    </row>
    <row r="121" hidden="1" outlineLevel="1" ht="15" customHeight="1" s="112"/>
    <row r="122" hidden="1" outlineLevel="1" ht="15" customHeight="1" s="112">
      <c r="A122" s="207" t="inlineStr">
        <is>
          <t>KB5 · Khách mới</t>
        </is>
      </c>
      <c r="C122" s="209">
        <f>$D$85*(1+$E$85)^0</f>
        <v/>
      </c>
      <c r="D122" s="209">
        <f>$D$85*(1+$E$85)^1</f>
        <v/>
      </c>
      <c r="E122" s="209">
        <f>$D$85*(1+$E$85)^2</f>
        <v/>
      </c>
      <c r="F122" s="209">
        <f>$D$85*(1+$E$85)^3</f>
        <v/>
      </c>
      <c r="G122" s="209">
        <f>$D$85*(1+$E$85)^4</f>
        <v/>
      </c>
      <c r="H122" s="209">
        <f>$D$85*(1+$E$85)^5</f>
        <v/>
      </c>
      <c r="I122" s="209">
        <f>$D$85*(1+$E$85)^6</f>
        <v/>
      </c>
      <c r="J122" s="209">
        <f>$D$85*(1+$E$85)^7</f>
        <v/>
      </c>
      <c r="K122" s="209">
        <f>$D$85*(1+$E$85)^8</f>
        <v/>
      </c>
      <c r="L122" s="209">
        <f>$D$85*(1+$E$85)^9</f>
        <v/>
      </c>
      <c r="M122" s="209">
        <f>$D$85*(1+$E$85)^10</f>
        <v/>
      </c>
      <c r="N122" s="209">
        <f>$D$85*(1+$E$85)^11</f>
        <v/>
      </c>
      <c r="O122" s="209">
        <f>$D$85*(1+$E$85)^12</f>
        <v/>
      </c>
      <c r="P122" s="209">
        <f>$D$85*(1+$E$85)^13</f>
        <v/>
      </c>
      <c r="Q122" s="209">
        <f>$D$85*(1+$E$85)^14</f>
        <v/>
      </c>
      <c r="R122" s="209">
        <f>$D$85*(1+$E$85)^15</f>
        <v/>
      </c>
      <c r="S122" s="209">
        <f>$D$85*(1+$E$85)^16</f>
        <v/>
      </c>
      <c r="T122" s="209">
        <f>$D$85*(1+$E$85)^17</f>
        <v/>
      </c>
      <c r="U122" s="209">
        <f>$D$85*(1+$E$85)^18</f>
        <v/>
      </c>
      <c r="V122" s="209">
        <f>$D$85*(1+$E$85)^19</f>
        <v/>
      </c>
      <c r="W122" s="209">
        <f>$D$85*(1+$E$85)^20</f>
        <v/>
      </c>
      <c r="X122" s="209">
        <f>$D$85*(1+$E$85)^21</f>
        <v/>
      </c>
      <c r="Y122" s="209">
        <f>$D$85*(1+$E$85)^22</f>
        <v/>
      </c>
      <c r="Z122" s="209">
        <f>$D$85*(1+$E$85)^23</f>
        <v/>
      </c>
    </row>
    <row r="123" hidden="1" outlineLevel="1" ht="15" customHeight="1" s="112">
      <c r="A123" s="207" t="inlineStr">
        <is>
          <t>KB5 · Khách đang dùng</t>
        </is>
      </c>
      <c r="B123" s="207" t="n">
        <v>0</v>
      </c>
      <c r="C123" s="209">
        <f>B123*(1-$F$85)+C122</f>
        <v/>
      </c>
      <c r="D123" s="209">
        <f>C123*(1-$F$85)+D122</f>
        <v/>
      </c>
      <c r="E123" s="209">
        <f>D123*(1-$F$85)+E122</f>
        <v/>
      </c>
      <c r="F123" s="209">
        <f>E123*(1-$F$85)+F122</f>
        <v/>
      </c>
      <c r="G123" s="209">
        <f>F123*(1-$F$85)+G122</f>
        <v/>
      </c>
      <c r="H123" s="209">
        <f>G123*(1-$F$85)+H122</f>
        <v/>
      </c>
      <c r="I123" s="209">
        <f>H123*(1-$F$85)+I122</f>
        <v/>
      </c>
      <c r="J123" s="209">
        <f>I123*(1-$F$85)+J122</f>
        <v/>
      </c>
      <c r="K123" s="209">
        <f>J123*(1-$F$85)+K122</f>
        <v/>
      </c>
      <c r="L123" s="209">
        <f>K123*(1-$F$85)+L122</f>
        <v/>
      </c>
      <c r="M123" s="209">
        <f>L123*(1-$F$85)+M122</f>
        <v/>
      </c>
      <c r="N123" s="209">
        <f>M123*(1-$F$85)+N122</f>
        <v/>
      </c>
      <c r="O123" s="209">
        <f>N123*(1-$F$85)+O122</f>
        <v/>
      </c>
      <c r="P123" s="209">
        <f>O123*(1-$F$85)+P122</f>
        <v/>
      </c>
      <c r="Q123" s="209">
        <f>P123*(1-$F$85)+Q122</f>
        <v/>
      </c>
      <c r="R123" s="209">
        <f>Q123*(1-$F$85)+R122</f>
        <v/>
      </c>
      <c r="S123" s="209">
        <f>R123*(1-$F$85)+S122</f>
        <v/>
      </c>
      <c r="T123" s="209">
        <f>S123*(1-$F$85)+T122</f>
        <v/>
      </c>
      <c r="U123" s="209">
        <f>T123*(1-$F$85)+U122</f>
        <v/>
      </c>
      <c r="V123" s="209">
        <f>U123*(1-$F$85)+V122</f>
        <v/>
      </c>
      <c r="W123" s="209">
        <f>V123*(1-$F$85)+W122</f>
        <v/>
      </c>
      <c r="X123" s="209">
        <f>W123*(1-$F$85)+X122</f>
        <v/>
      </c>
      <c r="Y123" s="209">
        <f>X123*(1-$F$85)+Y122</f>
        <v/>
      </c>
      <c r="Z123" s="209">
        <f>Y123*(1-$F$85)+Z122</f>
        <v/>
      </c>
    </row>
    <row r="124" hidden="1" outlineLevel="1" ht="15" customHeight="1" s="112">
      <c r="A124" s="207" t="inlineStr">
        <is>
          <t>KB5 · Dòng tiền ròng</t>
        </is>
      </c>
      <c r="B124" s="208">
        <f>-$I$85</f>
        <v/>
      </c>
      <c r="C124" s="208">
        <f>C123*($B$85-$C$85)-C122*$G$85-$H$85</f>
        <v/>
      </c>
      <c r="D124" s="208">
        <f>D123*($B$85-$C$85)-D122*$G$85-$H$85</f>
        <v/>
      </c>
      <c r="E124" s="208">
        <f>E123*($B$85-$C$85)-E122*$G$85-$H$85</f>
        <v/>
      </c>
      <c r="F124" s="208">
        <f>F123*($B$85-$C$85)-F122*$G$85-$H$85</f>
        <v/>
      </c>
      <c r="G124" s="208">
        <f>G123*($B$85-$C$85)-G122*$G$85-$H$85</f>
        <v/>
      </c>
      <c r="H124" s="208">
        <f>H123*($B$85-$C$85)-H122*$G$85-$H$85</f>
        <v/>
      </c>
      <c r="I124" s="208">
        <f>I123*($B$85-$C$85)-I122*$G$85-$H$85</f>
        <v/>
      </c>
      <c r="J124" s="208">
        <f>J123*($B$85-$C$85)-J122*$G$85-$H$85</f>
        <v/>
      </c>
      <c r="K124" s="208">
        <f>K123*($B$85-$C$85)-K122*$G$85-$H$85</f>
        <v/>
      </c>
      <c r="L124" s="208">
        <f>L123*($B$85-$C$85)-L122*$G$85-$H$85</f>
        <v/>
      </c>
      <c r="M124" s="208">
        <f>M123*($B$85-$C$85)-M122*$G$85-$H$85</f>
        <v/>
      </c>
      <c r="N124" s="208">
        <f>N123*($B$85-$C$85)-N122*$G$85-$H$85</f>
        <v/>
      </c>
      <c r="O124" s="208">
        <f>O123*($B$85-$C$85)-O122*$G$85-$H$85</f>
        <v/>
      </c>
      <c r="P124" s="208">
        <f>P123*($B$85-$C$85)-P122*$G$85-$H$85</f>
        <v/>
      </c>
      <c r="Q124" s="208">
        <f>Q123*($B$85-$C$85)-Q122*$G$85-$H$85</f>
        <v/>
      </c>
      <c r="R124" s="208">
        <f>R123*($B$85-$C$85)-R122*$G$85-$H$85</f>
        <v/>
      </c>
      <c r="S124" s="208">
        <f>S123*($B$85-$C$85)-S122*$G$85-$H$85</f>
        <v/>
      </c>
      <c r="T124" s="208">
        <f>T123*($B$85-$C$85)-T122*$G$85-$H$85</f>
        <v/>
      </c>
      <c r="U124" s="208">
        <f>U123*($B$85-$C$85)-U122*$G$85-$H$85</f>
        <v/>
      </c>
      <c r="V124" s="208">
        <f>V123*($B$85-$C$85)-V122*$G$85-$H$85</f>
        <v/>
      </c>
      <c r="W124" s="208">
        <f>W123*($B$85-$C$85)-W122*$G$85-$H$85</f>
        <v/>
      </c>
      <c r="X124" s="208">
        <f>X123*($B$85-$C$85)-X122*$G$85-$H$85</f>
        <v/>
      </c>
      <c r="Y124" s="208">
        <f>Y123*($B$85-$C$85)-Y122*$G$85-$H$85</f>
        <v/>
      </c>
      <c r="Z124" s="208">
        <f>Z123*($B$85-$C$85)-Z122*$G$85-$H$85</f>
        <v/>
      </c>
    </row>
    <row r="125" hidden="1" outlineLevel="1" ht="15" customHeight="1" s="112">
      <c r="A125" s="207" t="inlineStr">
        <is>
          <t>KB5 · Tiền mặt cuối kỳ</t>
        </is>
      </c>
      <c r="B125" s="208">
        <f>$J$85+B124</f>
        <v/>
      </c>
      <c r="C125" s="208">
        <f>B125+C124</f>
        <v/>
      </c>
      <c r="D125" s="208">
        <f>C125+D124</f>
        <v/>
      </c>
      <c r="E125" s="208">
        <f>D125+E124</f>
        <v/>
      </c>
      <c r="F125" s="208">
        <f>E125+F124</f>
        <v/>
      </c>
      <c r="G125" s="208">
        <f>F125+G124</f>
        <v/>
      </c>
      <c r="H125" s="208">
        <f>G125+H124</f>
        <v/>
      </c>
      <c r="I125" s="208">
        <f>H125+I124</f>
        <v/>
      </c>
      <c r="J125" s="208">
        <f>I125+J124</f>
        <v/>
      </c>
      <c r="K125" s="208">
        <f>J125+K124</f>
        <v/>
      </c>
      <c r="L125" s="208">
        <f>K125+L124</f>
        <v/>
      </c>
      <c r="M125" s="208">
        <f>L125+M124</f>
        <v/>
      </c>
      <c r="N125" s="208">
        <f>M125+N124</f>
        <v/>
      </c>
      <c r="O125" s="208">
        <f>N125+O124</f>
        <v/>
      </c>
      <c r="P125" s="208">
        <f>O125+P124</f>
        <v/>
      </c>
      <c r="Q125" s="208">
        <f>P125+Q124</f>
        <v/>
      </c>
      <c r="R125" s="208">
        <f>Q125+R124</f>
        <v/>
      </c>
      <c r="S125" s="208">
        <f>R125+S124</f>
        <v/>
      </c>
      <c r="T125" s="208">
        <f>S125+T124</f>
        <v/>
      </c>
      <c r="U125" s="208">
        <f>T125+U124</f>
        <v/>
      </c>
      <c r="V125" s="208">
        <f>U125+V124</f>
        <v/>
      </c>
      <c r="W125" s="208">
        <f>V125+W124</f>
        <v/>
      </c>
      <c r="X125" s="208">
        <f>W125+X124</f>
        <v/>
      </c>
      <c r="Y125" s="208">
        <f>X125+Y124</f>
        <v/>
      </c>
      <c r="Z125" s="208">
        <f>Y125+Z124</f>
        <v/>
      </c>
    </row>
    <row r="126" hidden="1" outlineLevel="1" ht="15" customHeight="1" s="112">
      <c r="A126" s="207" t="inlineStr">
        <is>
          <t>KB5 · Dòng tiền lũy kế</t>
        </is>
      </c>
      <c r="B126" s="208">
        <f>B124</f>
        <v/>
      </c>
      <c r="C126" s="208">
        <f>B126+C124</f>
        <v/>
      </c>
      <c r="D126" s="208">
        <f>C126+D124</f>
        <v/>
      </c>
      <c r="E126" s="208">
        <f>D126+E124</f>
        <v/>
      </c>
      <c r="F126" s="208">
        <f>E126+F124</f>
        <v/>
      </c>
      <c r="G126" s="208">
        <f>F126+G124</f>
        <v/>
      </c>
      <c r="H126" s="208">
        <f>G126+H124</f>
        <v/>
      </c>
      <c r="I126" s="208">
        <f>H126+I124</f>
        <v/>
      </c>
      <c r="J126" s="208">
        <f>I126+J124</f>
        <v/>
      </c>
      <c r="K126" s="208">
        <f>J126+K124</f>
        <v/>
      </c>
      <c r="L126" s="208">
        <f>K126+L124</f>
        <v/>
      </c>
      <c r="M126" s="208">
        <f>L126+M124</f>
        <v/>
      </c>
      <c r="N126" s="208">
        <f>M126+N124</f>
        <v/>
      </c>
      <c r="O126" s="208">
        <f>N126+O124</f>
        <v/>
      </c>
      <c r="P126" s="208">
        <f>O126+P124</f>
        <v/>
      </c>
      <c r="Q126" s="208">
        <f>P126+Q124</f>
        <v/>
      </c>
      <c r="R126" s="208">
        <f>Q126+R124</f>
        <v/>
      </c>
      <c r="S126" s="208">
        <f>R126+S124</f>
        <v/>
      </c>
      <c r="T126" s="208">
        <f>S126+T124</f>
        <v/>
      </c>
      <c r="U126" s="208">
        <f>T126+U124</f>
        <v/>
      </c>
      <c r="V126" s="208">
        <f>U126+V124</f>
        <v/>
      </c>
      <c r="W126" s="208">
        <f>V126+W124</f>
        <v/>
      </c>
      <c r="X126" s="208">
        <f>W126+X124</f>
        <v/>
      </c>
      <c r="Y126" s="208">
        <f>X126+Y124</f>
        <v/>
      </c>
      <c r="Z126" s="208">
        <f>Y126+Z124</f>
        <v/>
      </c>
    </row>
    <row r="127" hidden="1" outlineLevel="1" ht="15" customHeight="1" s="112"/>
    <row r="128" hidden="1" outlineLevel="1" ht="15" customHeight="1" s="112">
      <c r="A128" s="207" t="inlineStr">
        <is>
          <t>KB6 · Khách mới</t>
        </is>
      </c>
      <c r="C128" s="209">
        <f>$D$86*(1+$E$86)^0</f>
        <v/>
      </c>
      <c r="D128" s="209">
        <f>$D$86*(1+$E$86)^1</f>
        <v/>
      </c>
      <c r="E128" s="209">
        <f>$D$86*(1+$E$86)^2</f>
        <v/>
      </c>
      <c r="F128" s="209">
        <f>$D$86*(1+$E$86)^3</f>
        <v/>
      </c>
      <c r="G128" s="209">
        <f>$D$86*(1+$E$86)^4</f>
        <v/>
      </c>
      <c r="H128" s="209">
        <f>$D$86*(1+$E$86)^5</f>
        <v/>
      </c>
      <c r="I128" s="209">
        <f>$D$86*(1+$E$86)^6</f>
        <v/>
      </c>
      <c r="J128" s="209">
        <f>$D$86*(1+$E$86)^7</f>
        <v/>
      </c>
      <c r="K128" s="209">
        <f>$D$86*(1+$E$86)^8</f>
        <v/>
      </c>
      <c r="L128" s="209">
        <f>$D$86*(1+$E$86)^9</f>
        <v/>
      </c>
      <c r="M128" s="209">
        <f>$D$86*(1+$E$86)^10</f>
        <v/>
      </c>
      <c r="N128" s="209">
        <f>$D$86*(1+$E$86)^11</f>
        <v/>
      </c>
      <c r="O128" s="209">
        <f>$D$86*(1+$E$86)^12</f>
        <v/>
      </c>
      <c r="P128" s="209">
        <f>$D$86*(1+$E$86)^13</f>
        <v/>
      </c>
      <c r="Q128" s="209">
        <f>$D$86*(1+$E$86)^14</f>
        <v/>
      </c>
      <c r="R128" s="209">
        <f>$D$86*(1+$E$86)^15</f>
        <v/>
      </c>
      <c r="S128" s="209">
        <f>$D$86*(1+$E$86)^16</f>
        <v/>
      </c>
      <c r="T128" s="209">
        <f>$D$86*(1+$E$86)^17</f>
        <v/>
      </c>
      <c r="U128" s="209">
        <f>$D$86*(1+$E$86)^18</f>
        <v/>
      </c>
      <c r="V128" s="209">
        <f>$D$86*(1+$E$86)^19</f>
        <v/>
      </c>
      <c r="W128" s="209">
        <f>$D$86*(1+$E$86)^20</f>
        <v/>
      </c>
      <c r="X128" s="209">
        <f>$D$86*(1+$E$86)^21</f>
        <v/>
      </c>
      <c r="Y128" s="209">
        <f>$D$86*(1+$E$86)^22</f>
        <v/>
      </c>
      <c r="Z128" s="209">
        <f>$D$86*(1+$E$86)^23</f>
        <v/>
      </c>
    </row>
    <row r="129" hidden="1" outlineLevel="1" ht="15" customHeight="1" s="112">
      <c r="A129" s="207" t="inlineStr">
        <is>
          <t>KB6 · Khách đang dùng</t>
        </is>
      </c>
      <c r="B129" s="207" t="n">
        <v>0</v>
      </c>
      <c r="C129" s="209">
        <f>B129*(1-$F$86)+C128</f>
        <v/>
      </c>
      <c r="D129" s="209">
        <f>C129*(1-$F$86)+D128</f>
        <v/>
      </c>
      <c r="E129" s="209">
        <f>D129*(1-$F$86)+E128</f>
        <v/>
      </c>
      <c r="F129" s="209">
        <f>E129*(1-$F$86)+F128</f>
        <v/>
      </c>
      <c r="G129" s="209">
        <f>F129*(1-$F$86)+G128</f>
        <v/>
      </c>
      <c r="H129" s="209">
        <f>G129*(1-$F$86)+H128</f>
        <v/>
      </c>
      <c r="I129" s="209">
        <f>H129*(1-$F$86)+I128</f>
        <v/>
      </c>
      <c r="J129" s="209">
        <f>I129*(1-$F$86)+J128</f>
        <v/>
      </c>
      <c r="K129" s="209">
        <f>J129*(1-$F$86)+K128</f>
        <v/>
      </c>
      <c r="L129" s="209">
        <f>K129*(1-$F$86)+L128</f>
        <v/>
      </c>
      <c r="M129" s="209">
        <f>L129*(1-$F$86)+M128</f>
        <v/>
      </c>
      <c r="N129" s="209">
        <f>M129*(1-$F$86)+N128</f>
        <v/>
      </c>
      <c r="O129" s="209">
        <f>N129*(1-$F$86)+O128</f>
        <v/>
      </c>
      <c r="P129" s="209">
        <f>O129*(1-$F$86)+P128</f>
        <v/>
      </c>
      <c r="Q129" s="209">
        <f>P129*(1-$F$86)+Q128</f>
        <v/>
      </c>
      <c r="R129" s="209">
        <f>Q129*(1-$F$86)+R128</f>
        <v/>
      </c>
      <c r="S129" s="209">
        <f>R129*(1-$F$86)+S128</f>
        <v/>
      </c>
      <c r="T129" s="209">
        <f>S129*(1-$F$86)+T128</f>
        <v/>
      </c>
      <c r="U129" s="209">
        <f>T129*(1-$F$86)+U128</f>
        <v/>
      </c>
      <c r="V129" s="209">
        <f>U129*(1-$F$86)+V128</f>
        <v/>
      </c>
      <c r="W129" s="209">
        <f>V129*(1-$F$86)+W128</f>
        <v/>
      </c>
      <c r="X129" s="209">
        <f>W129*(1-$F$86)+X128</f>
        <v/>
      </c>
      <c r="Y129" s="209">
        <f>X129*(1-$F$86)+Y128</f>
        <v/>
      </c>
      <c r="Z129" s="209">
        <f>Y129*(1-$F$86)+Z128</f>
        <v/>
      </c>
    </row>
    <row r="130" hidden="1" outlineLevel="1" ht="15" customHeight="1" s="112">
      <c r="A130" s="207" t="inlineStr">
        <is>
          <t>KB6 · Dòng tiền ròng</t>
        </is>
      </c>
      <c r="B130" s="208">
        <f>-$I$86</f>
        <v/>
      </c>
      <c r="C130" s="208">
        <f>C129*($B$86-$C$86)-C128*$G$86-$H$86</f>
        <v/>
      </c>
      <c r="D130" s="208">
        <f>D129*($B$86-$C$86)-D128*$G$86-$H$86</f>
        <v/>
      </c>
      <c r="E130" s="208">
        <f>E129*($B$86-$C$86)-E128*$G$86-$H$86</f>
        <v/>
      </c>
      <c r="F130" s="208">
        <f>F129*($B$86-$C$86)-F128*$G$86-$H$86</f>
        <v/>
      </c>
      <c r="G130" s="208">
        <f>G129*($B$86-$C$86)-G128*$G$86-$H$86</f>
        <v/>
      </c>
      <c r="H130" s="208">
        <f>H129*($B$86-$C$86)-H128*$G$86-$H$86</f>
        <v/>
      </c>
      <c r="I130" s="208">
        <f>I129*($B$86-$C$86)-I128*$G$86-$H$86</f>
        <v/>
      </c>
      <c r="J130" s="208">
        <f>J129*($B$86-$C$86)-J128*$G$86-$H$86</f>
        <v/>
      </c>
      <c r="K130" s="208">
        <f>K129*($B$86-$C$86)-K128*$G$86-$H$86</f>
        <v/>
      </c>
      <c r="L130" s="208">
        <f>L129*($B$86-$C$86)-L128*$G$86-$H$86</f>
        <v/>
      </c>
      <c r="M130" s="208">
        <f>M129*($B$86-$C$86)-M128*$G$86-$H$86</f>
        <v/>
      </c>
      <c r="N130" s="208">
        <f>N129*($B$86-$C$86)-N128*$G$86-$H$86</f>
        <v/>
      </c>
      <c r="O130" s="208">
        <f>O129*($B$86-$C$86)-O128*$G$86-$H$86</f>
        <v/>
      </c>
      <c r="P130" s="208">
        <f>P129*($B$86-$C$86)-P128*$G$86-$H$86</f>
        <v/>
      </c>
      <c r="Q130" s="208">
        <f>Q129*($B$86-$C$86)-Q128*$G$86-$H$86</f>
        <v/>
      </c>
      <c r="R130" s="208">
        <f>R129*($B$86-$C$86)-R128*$G$86-$H$86</f>
        <v/>
      </c>
      <c r="S130" s="208">
        <f>S129*($B$86-$C$86)-S128*$G$86-$H$86</f>
        <v/>
      </c>
      <c r="T130" s="208">
        <f>T129*($B$86-$C$86)-T128*$G$86-$H$86</f>
        <v/>
      </c>
      <c r="U130" s="208">
        <f>U129*($B$86-$C$86)-U128*$G$86-$H$86</f>
        <v/>
      </c>
      <c r="V130" s="208">
        <f>V129*($B$86-$C$86)-V128*$G$86-$H$86</f>
        <v/>
      </c>
      <c r="W130" s="208">
        <f>W129*($B$86-$C$86)-W128*$G$86-$H$86</f>
        <v/>
      </c>
      <c r="X130" s="208">
        <f>X129*($B$86-$C$86)-X128*$G$86-$H$86</f>
        <v/>
      </c>
      <c r="Y130" s="208">
        <f>Y129*($B$86-$C$86)-Y128*$G$86-$H$86</f>
        <v/>
      </c>
      <c r="Z130" s="208">
        <f>Z129*($B$86-$C$86)-Z128*$G$86-$H$86</f>
        <v/>
      </c>
    </row>
    <row r="131" hidden="1" outlineLevel="1" ht="15" customHeight="1" s="112">
      <c r="A131" s="207" t="inlineStr">
        <is>
          <t>KB6 · Tiền mặt cuối kỳ</t>
        </is>
      </c>
      <c r="B131" s="208">
        <f>$J$86+B130</f>
        <v/>
      </c>
      <c r="C131" s="208">
        <f>B131+C130</f>
        <v/>
      </c>
      <c r="D131" s="208">
        <f>C131+D130</f>
        <v/>
      </c>
      <c r="E131" s="208">
        <f>D131+E130</f>
        <v/>
      </c>
      <c r="F131" s="208">
        <f>E131+F130</f>
        <v/>
      </c>
      <c r="G131" s="208">
        <f>F131+G130</f>
        <v/>
      </c>
      <c r="H131" s="208">
        <f>G131+H130</f>
        <v/>
      </c>
      <c r="I131" s="208">
        <f>H131+I130</f>
        <v/>
      </c>
      <c r="J131" s="208">
        <f>I131+J130</f>
        <v/>
      </c>
      <c r="K131" s="208">
        <f>J131+K130</f>
        <v/>
      </c>
      <c r="L131" s="208">
        <f>K131+L130</f>
        <v/>
      </c>
      <c r="M131" s="208">
        <f>L131+M130</f>
        <v/>
      </c>
      <c r="N131" s="208">
        <f>M131+N130</f>
        <v/>
      </c>
      <c r="O131" s="208">
        <f>N131+O130</f>
        <v/>
      </c>
      <c r="P131" s="208">
        <f>O131+P130</f>
        <v/>
      </c>
      <c r="Q131" s="208">
        <f>P131+Q130</f>
        <v/>
      </c>
      <c r="R131" s="208">
        <f>Q131+R130</f>
        <v/>
      </c>
      <c r="S131" s="208">
        <f>R131+S130</f>
        <v/>
      </c>
      <c r="T131" s="208">
        <f>S131+T130</f>
        <v/>
      </c>
      <c r="U131" s="208">
        <f>T131+U130</f>
        <v/>
      </c>
      <c r="V131" s="208">
        <f>U131+V130</f>
        <v/>
      </c>
      <c r="W131" s="208">
        <f>V131+W130</f>
        <v/>
      </c>
      <c r="X131" s="208">
        <f>W131+X130</f>
        <v/>
      </c>
      <c r="Y131" s="208">
        <f>X131+Y130</f>
        <v/>
      </c>
      <c r="Z131" s="208">
        <f>Y131+Z130</f>
        <v/>
      </c>
    </row>
    <row r="132" hidden="1" outlineLevel="1" ht="15" customHeight="1" s="112">
      <c r="A132" s="207" t="inlineStr">
        <is>
          <t>KB6 · Dòng tiền lũy kế</t>
        </is>
      </c>
      <c r="B132" s="208">
        <f>B130</f>
        <v/>
      </c>
      <c r="C132" s="208">
        <f>B132+C130</f>
        <v/>
      </c>
      <c r="D132" s="208">
        <f>C132+D130</f>
        <v/>
      </c>
      <c r="E132" s="208">
        <f>D132+E130</f>
        <v/>
      </c>
      <c r="F132" s="208">
        <f>E132+F130</f>
        <v/>
      </c>
      <c r="G132" s="208">
        <f>F132+G130</f>
        <v/>
      </c>
      <c r="H132" s="208">
        <f>G132+H130</f>
        <v/>
      </c>
      <c r="I132" s="208">
        <f>H132+I130</f>
        <v/>
      </c>
      <c r="J132" s="208">
        <f>I132+J130</f>
        <v/>
      </c>
      <c r="K132" s="208">
        <f>J132+K130</f>
        <v/>
      </c>
      <c r="L132" s="208">
        <f>K132+L130</f>
        <v/>
      </c>
      <c r="M132" s="208">
        <f>L132+M130</f>
        <v/>
      </c>
      <c r="N132" s="208">
        <f>M132+N130</f>
        <v/>
      </c>
      <c r="O132" s="208">
        <f>N132+O130</f>
        <v/>
      </c>
      <c r="P132" s="208">
        <f>O132+P130</f>
        <v/>
      </c>
      <c r="Q132" s="208">
        <f>P132+Q130</f>
        <v/>
      </c>
      <c r="R132" s="208">
        <f>Q132+R130</f>
        <v/>
      </c>
      <c r="S132" s="208">
        <f>R132+S130</f>
        <v/>
      </c>
      <c r="T132" s="208">
        <f>S132+T130</f>
        <v/>
      </c>
      <c r="U132" s="208">
        <f>T132+U130</f>
        <v/>
      </c>
      <c r="V132" s="208">
        <f>U132+V130</f>
        <v/>
      </c>
      <c r="W132" s="208">
        <f>V132+W130</f>
        <v/>
      </c>
      <c r="X132" s="208">
        <f>W132+X130</f>
        <v/>
      </c>
      <c r="Y132" s="208">
        <f>X132+Y130</f>
        <v/>
      </c>
      <c r="Z132" s="208">
        <f>Y132+Z130</f>
        <v/>
      </c>
    </row>
    <row r="133" hidden="1" outlineLevel="1" ht="15" customHeight="1" s="112"/>
    <row r="134" hidden="1" outlineLevel="1" ht="15" customHeight="1" s="112">
      <c r="A134" s="207" t="inlineStr">
        <is>
          <t>KB7 · Khách mới</t>
        </is>
      </c>
      <c r="C134" s="209">
        <f>$D$87*(1+$E$87)^0</f>
        <v/>
      </c>
      <c r="D134" s="209">
        <f>$D$87*(1+$E$87)^1</f>
        <v/>
      </c>
      <c r="E134" s="209">
        <f>$D$87*(1+$E$87)^2</f>
        <v/>
      </c>
      <c r="F134" s="209">
        <f>$D$87*(1+$E$87)^3</f>
        <v/>
      </c>
      <c r="G134" s="209">
        <f>$D$87*(1+$E$87)^4</f>
        <v/>
      </c>
      <c r="H134" s="209">
        <f>$D$87*(1+$E$87)^5</f>
        <v/>
      </c>
      <c r="I134" s="209">
        <f>$D$87*(1+$E$87)^6</f>
        <v/>
      </c>
      <c r="J134" s="209">
        <f>$D$87*(1+$E$87)^7</f>
        <v/>
      </c>
      <c r="K134" s="209">
        <f>$D$87*(1+$E$87)^8</f>
        <v/>
      </c>
      <c r="L134" s="209">
        <f>$D$87*(1+$E$87)^9</f>
        <v/>
      </c>
      <c r="M134" s="209">
        <f>$D$87*(1+$E$87)^10</f>
        <v/>
      </c>
      <c r="N134" s="209">
        <f>$D$87*(1+$E$87)^11</f>
        <v/>
      </c>
      <c r="O134" s="209">
        <f>$D$87*(1+$E$87)^12</f>
        <v/>
      </c>
      <c r="P134" s="209">
        <f>$D$87*(1+$E$87)^13</f>
        <v/>
      </c>
      <c r="Q134" s="209">
        <f>$D$87*(1+$E$87)^14</f>
        <v/>
      </c>
      <c r="R134" s="209">
        <f>$D$87*(1+$E$87)^15</f>
        <v/>
      </c>
      <c r="S134" s="209">
        <f>$D$87*(1+$E$87)^16</f>
        <v/>
      </c>
      <c r="T134" s="209">
        <f>$D$87*(1+$E$87)^17</f>
        <v/>
      </c>
      <c r="U134" s="209">
        <f>$D$87*(1+$E$87)^18</f>
        <v/>
      </c>
      <c r="V134" s="209">
        <f>$D$87*(1+$E$87)^19</f>
        <v/>
      </c>
      <c r="W134" s="209">
        <f>$D$87*(1+$E$87)^20</f>
        <v/>
      </c>
      <c r="X134" s="209">
        <f>$D$87*(1+$E$87)^21</f>
        <v/>
      </c>
      <c r="Y134" s="209">
        <f>$D$87*(1+$E$87)^22</f>
        <v/>
      </c>
      <c r="Z134" s="209">
        <f>$D$87*(1+$E$87)^23</f>
        <v/>
      </c>
    </row>
    <row r="135" hidden="1" outlineLevel="1" ht="15" customHeight="1" s="112">
      <c r="A135" s="207" t="inlineStr">
        <is>
          <t>KB7 · Khách đang dùng</t>
        </is>
      </c>
      <c r="B135" s="207" t="n">
        <v>0</v>
      </c>
      <c r="C135" s="209">
        <f>B135*(1-$F$87)+C134</f>
        <v/>
      </c>
      <c r="D135" s="209">
        <f>C135*(1-$F$87)+D134</f>
        <v/>
      </c>
      <c r="E135" s="209">
        <f>D135*(1-$F$87)+E134</f>
        <v/>
      </c>
      <c r="F135" s="209">
        <f>E135*(1-$F$87)+F134</f>
        <v/>
      </c>
      <c r="G135" s="209">
        <f>F135*(1-$F$87)+G134</f>
        <v/>
      </c>
      <c r="H135" s="209">
        <f>G135*(1-$F$87)+H134</f>
        <v/>
      </c>
      <c r="I135" s="209">
        <f>H135*(1-$F$87)+I134</f>
        <v/>
      </c>
      <c r="J135" s="209">
        <f>I135*(1-$F$87)+J134</f>
        <v/>
      </c>
      <c r="K135" s="209">
        <f>J135*(1-$F$87)+K134</f>
        <v/>
      </c>
      <c r="L135" s="209">
        <f>K135*(1-$F$87)+L134</f>
        <v/>
      </c>
      <c r="M135" s="209">
        <f>L135*(1-$F$87)+M134</f>
        <v/>
      </c>
      <c r="N135" s="209">
        <f>M135*(1-$F$87)+N134</f>
        <v/>
      </c>
      <c r="O135" s="209">
        <f>N135*(1-$F$87)+O134</f>
        <v/>
      </c>
      <c r="P135" s="209">
        <f>O135*(1-$F$87)+P134</f>
        <v/>
      </c>
      <c r="Q135" s="209">
        <f>P135*(1-$F$87)+Q134</f>
        <v/>
      </c>
      <c r="R135" s="209">
        <f>Q135*(1-$F$87)+R134</f>
        <v/>
      </c>
      <c r="S135" s="209">
        <f>R135*(1-$F$87)+S134</f>
        <v/>
      </c>
      <c r="T135" s="209">
        <f>S135*(1-$F$87)+T134</f>
        <v/>
      </c>
      <c r="U135" s="209">
        <f>T135*(1-$F$87)+U134</f>
        <v/>
      </c>
      <c r="V135" s="209">
        <f>U135*(1-$F$87)+V134</f>
        <v/>
      </c>
      <c r="W135" s="209">
        <f>V135*(1-$F$87)+W134</f>
        <v/>
      </c>
      <c r="X135" s="209">
        <f>W135*(1-$F$87)+X134</f>
        <v/>
      </c>
      <c r="Y135" s="209">
        <f>X135*(1-$F$87)+Y134</f>
        <v/>
      </c>
      <c r="Z135" s="209">
        <f>Y135*(1-$F$87)+Z134</f>
        <v/>
      </c>
    </row>
    <row r="136" hidden="1" outlineLevel="1" ht="15" customHeight="1" s="112">
      <c r="A136" s="207" t="inlineStr">
        <is>
          <t>KB7 · Dòng tiền ròng</t>
        </is>
      </c>
      <c r="B136" s="208">
        <f>-$I$87</f>
        <v/>
      </c>
      <c r="C136" s="208">
        <f>C135*($B$87-$C$87)-C134*$G$87-$H$87</f>
        <v/>
      </c>
      <c r="D136" s="208">
        <f>D135*($B$87-$C$87)-D134*$G$87-$H$87</f>
        <v/>
      </c>
      <c r="E136" s="208">
        <f>E135*($B$87-$C$87)-E134*$G$87-$H$87</f>
        <v/>
      </c>
      <c r="F136" s="208">
        <f>F135*($B$87-$C$87)-F134*$G$87-$H$87</f>
        <v/>
      </c>
      <c r="G136" s="208">
        <f>G135*($B$87-$C$87)-G134*$G$87-$H$87</f>
        <v/>
      </c>
      <c r="H136" s="208">
        <f>H135*($B$87-$C$87)-H134*$G$87-$H$87</f>
        <v/>
      </c>
      <c r="I136" s="208">
        <f>I135*($B$87-$C$87)-I134*$G$87-$H$87</f>
        <v/>
      </c>
      <c r="J136" s="208">
        <f>J135*($B$87-$C$87)-J134*$G$87-$H$87</f>
        <v/>
      </c>
      <c r="K136" s="208">
        <f>K135*($B$87-$C$87)-K134*$G$87-$H$87</f>
        <v/>
      </c>
      <c r="L136" s="208">
        <f>L135*($B$87-$C$87)-L134*$G$87-$H$87</f>
        <v/>
      </c>
      <c r="M136" s="208">
        <f>M135*($B$87-$C$87)-M134*$G$87-$H$87</f>
        <v/>
      </c>
      <c r="N136" s="208">
        <f>N135*($B$87-$C$87)-N134*$G$87-$H$87</f>
        <v/>
      </c>
      <c r="O136" s="208">
        <f>O135*($B$87-$C$87)-O134*$G$87-$H$87</f>
        <v/>
      </c>
      <c r="P136" s="208">
        <f>P135*($B$87-$C$87)-P134*$G$87-$H$87</f>
        <v/>
      </c>
      <c r="Q136" s="208">
        <f>Q135*($B$87-$C$87)-Q134*$G$87-$H$87</f>
        <v/>
      </c>
      <c r="R136" s="208">
        <f>R135*($B$87-$C$87)-R134*$G$87-$H$87</f>
        <v/>
      </c>
      <c r="S136" s="208">
        <f>S135*($B$87-$C$87)-S134*$G$87-$H$87</f>
        <v/>
      </c>
      <c r="T136" s="208">
        <f>T135*($B$87-$C$87)-T134*$G$87-$H$87</f>
        <v/>
      </c>
      <c r="U136" s="208">
        <f>U135*($B$87-$C$87)-U134*$G$87-$H$87</f>
        <v/>
      </c>
      <c r="V136" s="208">
        <f>V135*($B$87-$C$87)-V134*$G$87-$H$87</f>
        <v/>
      </c>
      <c r="W136" s="208">
        <f>W135*($B$87-$C$87)-W134*$G$87-$H$87</f>
        <v/>
      </c>
      <c r="X136" s="208">
        <f>X135*($B$87-$C$87)-X134*$G$87-$H$87</f>
        <v/>
      </c>
      <c r="Y136" s="208">
        <f>Y135*($B$87-$C$87)-Y134*$G$87-$H$87</f>
        <v/>
      </c>
      <c r="Z136" s="208">
        <f>Z135*($B$87-$C$87)-Z134*$G$87-$H$87</f>
        <v/>
      </c>
    </row>
    <row r="137" hidden="1" outlineLevel="1" ht="15" customHeight="1" s="112">
      <c r="A137" s="207" t="inlineStr">
        <is>
          <t>KB7 · Tiền mặt cuối kỳ</t>
        </is>
      </c>
      <c r="B137" s="208">
        <f>$J$87+B136</f>
        <v/>
      </c>
      <c r="C137" s="208">
        <f>B137+C136</f>
        <v/>
      </c>
      <c r="D137" s="208">
        <f>C137+D136</f>
        <v/>
      </c>
      <c r="E137" s="208">
        <f>D137+E136</f>
        <v/>
      </c>
      <c r="F137" s="208">
        <f>E137+F136</f>
        <v/>
      </c>
      <c r="G137" s="208">
        <f>F137+G136</f>
        <v/>
      </c>
      <c r="H137" s="208">
        <f>G137+H136</f>
        <v/>
      </c>
      <c r="I137" s="208">
        <f>H137+I136</f>
        <v/>
      </c>
      <c r="J137" s="208">
        <f>I137+J136</f>
        <v/>
      </c>
      <c r="K137" s="208">
        <f>J137+K136</f>
        <v/>
      </c>
      <c r="L137" s="208">
        <f>K137+L136</f>
        <v/>
      </c>
      <c r="M137" s="208">
        <f>L137+M136</f>
        <v/>
      </c>
      <c r="N137" s="208">
        <f>M137+N136</f>
        <v/>
      </c>
      <c r="O137" s="208">
        <f>N137+O136</f>
        <v/>
      </c>
      <c r="P137" s="208">
        <f>O137+P136</f>
        <v/>
      </c>
      <c r="Q137" s="208">
        <f>P137+Q136</f>
        <v/>
      </c>
      <c r="R137" s="208">
        <f>Q137+R136</f>
        <v/>
      </c>
      <c r="S137" s="208">
        <f>R137+S136</f>
        <v/>
      </c>
      <c r="T137" s="208">
        <f>S137+T136</f>
        <v/>
      </c>
      <c r="U137" s="208">
        <f>T137+U136</f>
        <v/>
      </c>
      <c r="V137" s="208">
        <f>U137+V136</f>
        <v/>
      </c>
      <c r="W137" s="208">
        <f>V137+W136</f>
        <v/>
      </c>
      <c r="X137" s="208">
        <f>W137+X136</f>
        <v/>
      </c>
      <c r="Y137" s="208">
        <f>X137+Y136</f>
        <v/>
      </c>
      <c r="Z137" s="208">
        <f>Y137+Z136</f>
        <v/>
      </c>
    </row>
    <row r="138" hidden="1" outlineLevel="1" ht="15" customHeight="1" s="112">
      <c r="A138" s="207" t="inlineStr">
        <is>
          <t>KB7 · Dòng tiền lũy kế</t>
        </is>
      </c>
      <c r="B138" s="208">
        <f>B136</f>
        <v/>
      </c>
      <c r="C138" s="208">
        <f>B138+C136</f>
        <v/>
      </c>
      <c r="D138" s="208">
        <f>C138+D136</f>
        <v/>
      </c>
      <c r="E138" s="208">
        <f>D138+E136</f>
        <v/>
      </c>
      <c r="F138" s="208">
        <f>E138+F136</f>
        <v/>
      </c>
      <c r="G138" s="208">
        <f>F138+G136</f>
        <v/>
      </c>
      <c r="H138" s="208">
        <f>G138+H136</f>
        <v/>
      </c>
      <c r="I138" s="208">
        <f>H138+I136</f>
        <v/>
      </c>
      <c r="J138" s="208">
        <f>I138+J136</f>
        <v/>
      </c>
      <c r="K138" s="208">
        <f>J138+K136</f>
        <v/>
      </c>
      <c r="L138" s="208">
        <f>K138+L136</f>
        <v/>
      </c>
      <c r="M138" s="208">
        <f>L138+M136</f>
        <v/>
      </c>
      <c r="N138" s="208">
        <f>M138+N136</f>
        <v/>
      </c>
      <c r="O138" s="208">
        <f>N138+O136</f>
        <v/>
      </c>
      <c r="P138" s="208">
        <f>O138+P136</f>
        <v/>
      </c>
      <c r="Q138" s="208">
        <f>P138+Q136</f>
        <v/>
      </c>
      <c r="R138" s="208">
        <f>Q138+R136</f>
        <v/>
      </c>
      <c r="S138" s="208">
        <f>R138+S136</f>
        <v/>
      </c>
      <c r="T138" s="208">
        <f>S138+T136</f>
        <v/>
      </c>
      <c r="U138" s="208">
        <f>T138+U136</f>
        <v/>
      </c>
      <c r="V138" s="208">
        <f>U138+V136</f>
        <v/>
      </c>
      <c r="W138" s="208">
        <f>V138+W136</f>
        <v/>
      </c>
      <c r="X138" s="208">
        <f>W138+X136</f>
        <v/>
      </c>
      <c r="Y138" s="208">
        <f>X138+Y136</f>
        <v/>
      </c>
      <c r="Z138" s="208">
        <f>Y138+Z136</f>
        <v/>
      </c>
    </row>
    <row r="139" hidden="1" outlineLevel="1" ht="15" customHeight="1" s="112"/>
    <row r="140" hidden="1" outlineLevel="1" ht="15" customHeight="1" s="112">
      <c r="A140" s="207" t="inlineStr">
        <is>
          <t>KB8 · Khách mới</t>
        </is>
      </c>
      <c r="C140" s="209">
        <f>$D$88*(1+$E$88)^0</f>
        <v/>
      </c>
      <c r="D140" s="209">
        <f>$D$88*(1+$E$88)^1</f>
        <v/>
      </c>
      <c r="E140" s="209">
        <f>$D$88*(1+$E$88)^2</f>
        <v/>
      </c>
      <c r="F140" s="209">
        <f>$D$88*(1+$E$88)^3</f>
        <v/>
      </c>
      <c r="G140" s="209">
        <f>$D$88*(1+$E$88)^4</f>
        <v/>
      </c>
      <c r="H140" s="209">
        <f>$D$88*(1+$E$88)^5</f>
        <v/>
      </c>
      <c r="I140" s="209">
        <f>$D$88*(1+$E$88)^6</f>
        <v/>
      </c>
      <c r="J140" s="209">
        <f>$D$88*(1+$E$88)^7</f>
        <v/>
      </c>
      <c r="K140" s="209">
        <f>$D$88*(1+$E$88)^8</f>
        <v/>
      </c>
      <c r="L140" s="209">
        <f>$D$88*(1+$E$88)^9</f>
        <v/>
      </c>
      <c r="M140" s="209">
        <f>$D$88*(1+$E$88)^10</f>
        <v/>
      </c>
      <c r="N140" s="209">
        <f>$D$88*(1+$E$88)^11</f>
        <v/>
      </c>
      <c r="O140" s="209">
        <f>$D$88*(1+$E$88)^12</f>
        <v/>
      </c>
      <c r="P140" s="209">
        <f>$D$88*(1+$E$88)^13</f>
        <v/>
      </c>
      <c r="Q140" s="209">
        <f>$D$88*(1+$E$88)^14</f>
        <v/>
      </c>
      <c r="R140" s="209">
        <f>$D$88*(1+$E$88)^15</f>
        <v/>
      </c>
      <c r="S140" s="209">
        <f>$D$88*(1+$E$88)^16</f>
        <v/>
      </c>
      <c r="T140" s="209">
        <f>$D$88*(1+$E$88)^17</f>
        <v/>
      </c>
      <c r="U140" s="209">
        <f>$D$88*(1+$E$88)^18</f>
        <v/>
      </c>
      <c r="V140" s="209">
        <f>$D$88*(1+$E$88)^19</f>
        <v/>
      </c>
      <c r="W140" s="209">
        <f>$D$88*(1+$E$88)^20</f>
        <v/>
      </c>
      <c r="X140" s="209">
        <f>$D$88*(1+$E$88)^21</f>
        <v/>
      </c>
      <c r="Y140" s="209">
        <f>$D$88*(1+$E$88)^22</f>
        <v/>
      </c>
      <c r="Z140" s="209">
        <f>$D$88*(1+$E$88)^23</f>
        <v/>
      </c>
    </row>
    <row r="141" hidden="1" outlineLevel="1" ht="15" customHeight="1" s="112">
      <c r="A141" s="207" t="inlineStr">
        <is>
          <t>KB8 · Khách đang dùng</t>
        </is>
      </c>
      <c r="B141" s="207" t="n">
        <v>0</v>
      </c>
      <c r="C141" s="209">
        <f>B141*(1-$F$88)+C140</f>
        <v/>
      </c>
      <c r="D141" s="209">
        <f>C141*(1-$F$88)+D140</f>
        <v/>
      </c>
      <c r="E141" s="209">
        <f>D141*(1-$F$88)+E140</f>
        <v/>
      </c>
      <c r="F141" s="209">
        <f>E141*(1-$F$88)+F140</f>
        <v/>
      </c>
      <c r="G141" s="209">
        <f>F141*(1-$F$88)+G140</f>
        <v/>
      </c>
      <c r="H141" s="209">
        <f>G141*(1-$F$88)+H140</f>
        <v/>
      </c>
      <c r="I141" s="209">
        <f>H141*(1-$F$88)+I140</f>
        <v/>
      </c>
      <c r="J141" s="209">
        <f>I141*(1-$F$88)+J140</f>
        <v/>
      </c>
      <c r="K141" s="209">
        <f>J141*(1-$F$88)+K140</f>
        <v/>
      </c>
      <c r="L141" s="209">
        <f>K141*(1-$F$88)+L140</f>
        <v/>
      </c>
      <c r="M141" s="209">
        <f>L141*(1-$F$88)+M140</f>
        <v/>
      </c>
      <c r="N141" s="209">
        <f>M141*(1-$F$88)+N140</f>
        <v/>
      </c>
      <c r="O141" s="209">
        <f>N141*(1-$F$88)+O140</f>
        <v/>
      </c>
      <c r="P141" s="209">
        <f>O141*(1-$F$88)+P140</f>
        <v/>
      </c>
      <c r="Q141" s="209">
        <f>P141*(1-$F$88)+Q140</f>
        <v/>
      </c>
      <c r="R141" s="209">
        <f>Q141*(1-$F$88)+R140</f>
        <v/>
      </c>
      <c r="S141" s="209">
        <f>R141*(1-$F$88)+S140</f>
        <v/>
      </c>
      <c r="T141" s="209">
        <f>S141*(1-$F$88)+T140</f>
        <v/>
      </c>
      <c r="U141" s="209">
        <f>T141*(1-$F$88)+U140</f>
        <v/>
      </c>
      <c r="V141" s="209">
        <f>U141*(1-$F$88)+V140</f>
        <v/>
      </c>
      <c r="W141" s="209">
        <f>V141*(1-$F$88)+W140</f>
        <v/>
      </c>
      <c r="X141" s="209">
        <f>W141*(1-$F$88)+X140</f>
        <v/>
      </c>
      <c r="Y141" s="209">
        <f>X141*(1-$F$88)+Y140</f>
        <v/>
      </c>
      <c r="Z141" s="209">
        <f>Y141*(1-$F$88)+Z140</f>
        <v/>
      </c>
    </row>
    <row r="142" hidden="1" outlineLevel="1" ht="15" customHeight="1" s="112">
      <c r="A142" s="207" t="inlineStr">
        <is>
          <t>KB8 · Dòng tiền ròng</t>
        </is>
      </c>
      <c r="B142" s="208">
        <f>-$I$88</f>
        <v/>
      </c>
      <c r="C142" s="208">
        <f>C141*($B$88-$C$88)-C140*$G$88-$H$88</f>
        <v/>
      </c>
      <c r="D142" s="208">
        <f>D141*($B$88-$C$88)-D140*$G$88-$H$88</f>
        <v/>
      </c>
      <c r="E142" s="208">
        <f>E141*($B$88-$C$88)-E140*$G$88-$H$88</f>
        <v/>
      </c>
      <c r="F142" s="208">
        <f>F141*($B$88-$C$88)-F140*$G$88-$H$88</f>
        <v/>
      </c>
      <c r="G142" s="208">
        <f>G141*($B$88-$C$88)-G140*$G$88-$H$88</f>
        <v/>
      </c>
      <c r="H142" s="208">
        <f>H141*($B$88-$C$88)-H140*$G$88-$H$88</f>
        <v/>
      </c>
      <c r="I142" s="208">
        <f>I141*($B$88-$C$88)-I140*$G$88-$H$88</f>
        <v/>
      </c>
      <c r="J142" s="208">
        <f>J141*($B$88-$C$88)-J140*$G$88-$H$88</f>
        <v/>
      </c>
      <c r="K142" s="208">
        <f>K141*($B$88-$C$88)-K140*$G$88-$H$88</f>
        <v/>
      </c>
      <c r="L142" s="208">
        <f>L141*($B$88-$C$88)-L140*$G$88-$H$88</f>
        <v/>
      </c>
      <c r="M142" s="208">
        <f>M141*($B$88-$C$88)-M140*$G$88-$H$88</f>
        <v/>
      </c>
      <c r="N142" s="208">
        <f>N141*($B$88-$C$88)-N140*$G$88-$H$88</f>
        <v/>
      </c>
      <c r="O142" s="208">
        <f>O141*($B$88-$C$88)-O140*$G$88-$H$88</f>
        <v/>
      </c>
      <c r="P142" s="208">
        <f>P141*($B$88-$C$88)-P140*$G$88-$H$88</f>
        <v/>
      </c>
      <c r="Q142" s="208">
        <f>Q141*($B$88-$C$88)-Q140*$G$88-$H$88</f>
        <v/>
      </c>
      <c r="R142" s="208">
        <f>R141*($B$88-$C$88)-R140*$G$88-$H$88</f>
        <v/>
      </c>
      <c r="S142" s="208">
        <f>S141*($B$88-$C$88)-S140*$G$88-$H$88</f>
        <v/>
      </c>
      <c r="T142" s="208">
        <f>T141*($B$88-$C$88)-T140*$G$88-$H$88</f>
        <v/>
      </c>
      <c r="U142" s="208">
        <f>U141*($B$88-$C$88)-U140*$G$88-$H$88</f>
        <v/>
      </c>
      <c r="V142" s="208">
        <f>V141*($B$88-$C$88)-V140*$G$88-$H$88</f>
        <v/>
      </c>
      <c r="W142" s="208">
        <f>W141*($B$88-$C$88)-W140*$G$88-$H$88</f>
        <v/>
      </c>
      <c r="X142" s="208">
        <f>X141*($B$88-$C$88)-X140*$G$88-$H$88</f>
        <v/>
      </c>
      <c r="Y142" s="208">
        <f>Y141*($B$88-$C$88)-Y140*$G$88-$H$88</f>
        <v/>
      </c>
      <c r="Z142" s="208">
        <f>Z141*($B$88-$C$88)-Z140*$G$88-$H$88</f>
        <v/>
      </c>
    </row>
    <row r="143" hidden="1" outlineLevel="1" ht="15" customHeight="1" s="112">
      <c r="A143" s="207" t="inlineStr">
        <is>
          <t>KB8 · Tiền mặt cuối kỳ</t>
        </is>
      </c>
      <c r="B143" s="208">
        <f>$J$88+B142</f>
        <v/>
      </c>
      <c r="C143" s="208">
        <f>B143+C142</f>
        <v/>
      </c>
      <c r="D143" s="208">
        <f>C143+D142</f>
        <v/>
      </c>
      <c r="E143" s="208">
        <f>D143+E142</f>
        <v/>
      </c>
      <c r="F143" s="208">
        <f>E143+F142</f>
        <v/>
      </c>
      <c r="G143" s="208">
        <f>F143+G142</f>
        <v/>
      </c>
      <c r="H143" s="208">
        <f>G143+H142</f>
        <v/>
      </c>
      <c r="I143" s="208">
        <f>H143+I142</f>
        <v/>
      </c>
      <c r="J143" s="208">
        <f>I143+J142</f>
        <v/>
      </c>
      <c r="K143" s="208">
        <f>J143+K142</f>
        <v/>
      </c>
      <c r="L143" s="208">
        <f>K143+L142</f>
        <v/>
      </c>
      <c r="M143" s="208">
        <f>L143+M142</f>
        <v/>
      </c>
      <c r="N143" s="208">
        <f>M143+N142</f>
        <v/>
      </c>
      <c r="O143" s="208">
        <f>N143+O142</f>
        <v/>
      </c>
      <c r="P143" s="208">
        <f>O143+P142</f>
        <v/>
      </c>
      <c r="Q143" s="208">
        <f>P143+Q142</f>
        <v/>
      </c>
      <c r="R143" s="208">
        <f>Q143+R142</f>
        <v/>
      </c>
      <c r="S143" s="208">
        <f>R143+S142</f>
        <v/>
      </c>
      <c r="T143" s="208">
        <f>S143+T142</f>
        <v/>
      </c>
      <c r="U143" s="208">
        <f>T143+U142</f>
        <v/>
      </c>
      <c r="V143" s="208">
        <f>U143+V142</f>
        <v/>
      </c>
      <c r="W143" s="208">
        <f>V143+W142</f>
        <v/>
      </c>
      <c r="X143" s="208">
        <f>W143+X142</f>
        <v/>
      </c>
      <c r="Y143" s="208">
        <f>X143+Y142</f>
        <v/>
      </c>
      <c r="Z143" s="208">
        <f>Y143+Z142</f>
        <v/>
      </c>
    </row>
    <row r="144" hidden="1" outlineLevel="1" ht="15" customHeight="1" s="112">
      <c r="A144" s="207" t="inlineStr">
        <is>
          <t>KB8 · Dòng tiền lũy kế</t>
        </is>
      </c>
      <c r="B144" s="208">
        <f>B142</f>
        <v/>
      </c>
      <c r="C144" s="208">
        <f>B144+C142</f>
        <v/>
      </c>
      <c r="D144" s="208">
        <f>C144+D142</f>
        <v/>
      </c>
      <c r="E144" s="208">
        <f>D144+E142</f>
        <v/>
      </c>
      <c r="F144" s="208">
        <f>E144+F142</f>
        <v/>
      </c>
      <c r="G144" s="208">
        <f>F144+G142</f>
        <v/>
      </c>
      <c r="H144" s="208">
        <f>G144+H142</f>
        <v/>
      </c>
      <c r="I144" s="208">
        <f>H144+I142</f>
        <v/>
      </c>
      <c r="J144" s="208">
        <f>I144+J142</f>
        <v/>
      </c>
      <c r="K144" s="208">
        <f>J144+K142</f>
        <v/>
      </c>
      <c r="L144" s="208">
        <f>K144+L142</f>
        <v/>
      </c>
      <c r="M144" s="208">
        <f>L144+M142</f>
        <v/>
      </c>
      <c r="N144" s="208">
        <f>M144+N142</f>
        <v/>
      </c>
      <c r="O144" s="208">
        <f>N144+O142</f>
        <v/>
      </c>
      <c r="P144" s="208">
        <f>O144+P142</f>
        <v/>
      </c>
      <c r="Q144" s="208">
        <f>P144+Q142</f>
        <v/>
      </c>
      <c r="R144" s="208">
        <f>Q144+R142</f>
        <v/>
      </c>
      <c r="S144" s="208">
        <f>R144+S142</f>
        <v/>
      </c>
      <c r="T144" s="208">
        <f>S144+T142</f>
        <v/>
      </c>
      <c r="U144" s="208">
        <f>T144+U142</f>
        <v/>
      </c>
      <c r="V144" s="208">
        <f>U144+V142</f>
        <v/>
      </c>
      <c r="W144" s="208">
        <f>V144+W142</f>
        <v/>
      </c>
      <c r="X144" s="208">
        <f>W144+X142</f>
        <v/>
      </c>
      <c r="Y144" s="208">
        <f>X144+Y142</f>
        <v/>
      </c>
      <c r="Z144" s="208">
        <f>Y144+Z142</f>
        <v/>
      </c>
    </row>
    <row r="145" hidden="1" outlineLevel="1" ht="15" customHeight="1" s="112"/>
  </sheetData>
  <sheetProtection selectLockedCells="0" selectUnlockedCells="0" sheet="1" objects="0" insertRows="1" insertHyperlinks="1" autoFilter="1" scenarios="0" formatColumns="0" deleteColumns="1" insertColumns="1" pivotTables="1" deleteRows="1" formatCells="1" formatRows="0" sort="1"/>
  <mergeCells count="7">
    <mergeCell ref="E73:H73"/>
    <mergeCell ref="E74:H74"/>
    <mergeCell ref="E76:H76"/>
    <mergeCell ref="E72:H72"/>
    <mergeCell ref="E77:H77"/>
    <mergeCell ref="E71:H71"/>
    <mergeCell ref="E75:H75"/>
  </mergeCells>
  <conditionalFormatting sqref="A58:H64">
    <cfRule type="expression" rank="0" priority="2" equalAverage="0" aboveAverage="0" dxfId="0" text="" percent="0" bottom="0">
      <formula>$H58=1</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8" customWidth="1" style="111" min="1" max="1"/>
    <col width="18" customWidth="1" style="111" min="2" max="4"/>
    <col width="15" customWidth="1" style="111" min="5" max="5"/>
    <col width="40" customWidth="1" style="111" min="6" max="6"/>
    <col width="52" customWidth="1" style="111" min="7" max="7"/>
  </cols>
  <sheetData>
    <row r="1" ht="17.25" customHeight="1" s="112">
      <c r="A1" s="113" t="inlineStr">
        <is>
          <t>6 · Hiệu quả dự án AI dùng trong nội bộ (khi sản phẩm phục vụ chính công ty)</t>
        </is>
      </c>
    </row>
    <row r="2" ht="15" customHeight="1" s="112">
      <c r="A2" s="120" t="inlineStr">
        <is>
          <t>Hiệu quả = (giá trị tạo ra − chi phí vận hành) so với chi phí đầu tư một lần. Không dùng thay cho trang 3–5 nếu sản phẩm bán ra thị trường.</t>
        </is>
      </c>
    </row>
    <row r="3" ht="15" customHeight="1" s="112">
      <c r="A3" s="211" t="inlineStr">
        <is>
          <t>Lưu ý: giờ tiết kiệm chỉ thành tiền khi được dùng vào việc khác hoặc giúp giảm tuyển mới. Nếu không, chỉ ghi phần đo được ở dòng 9 và nói rõ lý do.</t>
        </is>
      </c>
    </row>
    <row r="4" ht="15" customHeight="1" s="112">
      <c r="A4" s="125" t="inlineStr">
        <is>
          <t>Giả định</t>
        </is>
      </c>
      <c r="B4" s="125" t="inlineStr">
        <is>
          <t>Lạc quan</t>
        </is>
      </c>
      <c r="C4" s="125" t="inlineStr">
        <is>
          <t>Cơ sở</t>
        </is>
      </c>
      <c r="D4" s="125" t="inlineStr">
        <is>
          <t>Xấu</t>
        </is>
      </c>
      <c r="E4" s="125" t="inlineStr">
        <is>
          <t>Đơn vị</t>
        </is>
      </c>
      <c r="F4" s="125" t="inlineStr">
        <is>
          <t>Nguồn / lý do</t>
        </is>
      </c>
      <c r="G4" s="125" t="inlineStr">
        <is>
          <t>Gợi ý · bản mẫu (Lạc quan / Cơ sở / Xấu)</t>
        </is>
      </c>
    </row>
    <row r="5" ht="15.75" customHeight="1" s="112">
      <c r="A5" s="151" t="inlineStr">
        <is>
          <t>Số nhân sự dùng công cụ</t>
        </is>
      </c>
      <c r="B5" s="212" t="n"/>
      <c r="C5" s="212" t="n"/>
      <c r="D5" s="212" t="n"/>
      <c r="E5" s="153" t="inlineStr">
        <is>
          <t>người</t>
        </is>
      </c>
      <c r="F5" s="181" t="n"/>
      <c r="G5" s="155" t="inlineStr">
        <is>
          <t>Số người sẽ dùng công cụ. Bản mẫu: 30 (1 phòng ban).</t>
        </is>
      </c>
    </row>
    <row r="6" ht="31.5" customHeight="1" s="112">
      <c r="A6" s="176" t="inlineStr">
        <is>
          <t>Giờ tiết kiệm / người / tuần (chỉ tính giờ được dùng vào việc khác hoặc giúp giảm tuyển)</t>
        </is>
      </c>
      <c r="B6" s="212" t="n"/>
      <c r="C6" s="212" t="n"/>
      <c r="D6" s="212" t="n"/>
      <c r="E6" s="153" t="inlineStr">
        <is>
          <t>giờ</t>
        </is>
      </c>
      <c r="F6" s="181" t="n"/>
      <c r="G6" s="155" t="inlineStr">
        <is>
          <t>Chỉ tính giờ được dùng vào việc khác hoặc giúp giảm tuyển. Đo bằng thử nghiệm. Bản mẫu: 5 / 3 / 1,5.</t>
        </is>
      </c>
    </row>
    <row r="7" ht="30" customHeight="1" s="112">
      <c r="A7" s="151" t="inlineStr">
        <is>
          <t>Tỷ lệ người dùng thật</t>
        </is>
      </c>
      <c r="B7" s="157" t="n"/>
      <c r="C7" s="157" t="n"/>
      <c r="D7" s="157" t="n"/>
      <c r="E7" s="153" t="inlineStr">
        <is>
          <t>%</t>
        </is>
      </c>
      <c r="F7" s="181" t="n"/>
      <c r="G7" s="155" t="inlineStr">
        <is>
          <t>Người dùng đều đặn ÷ tổng số người. Bản mẫu: 80% / 60% / 35%.</t>
        </is>
      </c>
    </row>
    <row r="8" ht="15.75" customHeight="1" s="112">
      <c r="A8" s="151" t="inlineStr">
        <is>
          <t>Chi phí 1 giờ công (gồm phúc lợi)</t>
        </is>
      </c>
      <c r="B8" s="180" t="n"/>
      <c r="C8" s="180" t="n"/>
      <c r="D8" s="180" t="n"/>
      <c r="E8" s="153" t="inlineStr">
        <is>
          <t>VND / giờ</t>
        </is>
      </c>
      <c r="F8" s="181" t="n"/>
      <c r="G8" s="155" t="inlineStr">
        <is>
          <t>Lương + bảo hiểm + phúc lợi ÷ số giờ làm. Bản mẫu: 120.000.</t>
        </is>
      </c>
    </row>
    <row r="9" ht="15.75" customHeight="1" s="112">
      <c r="A9" s="151" t="inlineStr">
        <is>
          <t>Giá trị khác / tháng (doanh thu tăng, giảm lỗi…)</t>
        </is>
      </c>
      <c r="B9" s="180" t="n"/>
      <c r="C9" s="180" t="n"/>
      <c r="D9" s="180" t="n"/>
      <c r="E9" s="153" t="inlineStr">
        <is>
          <t>VND / tháng</t>
        </is>
      </c>
      <c r="F9" s="181" t="n"/>
      <c r="G9" s="155" t="inlineStr">
        <is>
          <t>Chỉ đưa vào nếu đo được. Bản mẫu: 10 / 5 / 0 triệu.</t>
        </is>
      </c>
    </row>
    <row r="10" ht="15.75" customHeight="1" s="112">
      <c r="A10" s="151" t="inlineStr">
        <is>
          <t>Chi phí xây dựng một lần</t>
        </is>
      </c>
      <c r="B10" s="180" t="n"/>
      <c r="C10" s="180" t="n"/>
      <c r="D10" s="180" t="n"/>
      <c r="E10" s="153" t="inlineStr">
        <is>
          <t>VND (một lần)</t>
        </is>
      </c>
      <c r="F10" s="181" t="n"/>
      <c r="G10" s="155" t="inlineStr">
        <is>
          <t>Bản mẫu: 400 / 400 / 500 triệu.</t>
        </is>
      </c>
    </row>
    <row r="11" ht="15.75" customHeight="1" s="112">
      <c r="A11" s="151" t="inlineStr">
        <is>
          <t>Chi phí thay đổi quy trình &amp; đào tạo (một lần)</t>
        </is>
      </c>
      <c r="B11" s="180" t="n"/>
      <c r="C11" s="180" t="n"/>
      <c r="D11" s="180" t="n"/>
      <c r="E11" s="153" t="inlineStr">
        <is>
          <t>VND (một lần)</t>
        </is>
      </c>
      <c r="F11" s="181" t="n"/>
      <c r="G11" s="155" t="inlineStr">
        <is>
          <t>Khoản hay bị quên. Bản mẫu: 50 / 60 / 80 triệu.</t>
        </is>
      </c>
    </row>
    <row r="12" ht="15.75" customHeight="1" s="112">
      <c r="A12" s="151" t="inlineStr">
        <is>
          <t>Chi phí vận hành / tháng (API, hạ tầng, bảo trì)</t>
        </is>
      </c>
      <c r="B12" s="180" t="n"/>
      <c r="C12" s="180" t="n"/>
      <c r="D12" s="180" t="n"/>
      <c r="E12" s="153" t="inlineStr">
        <is>
          <t>VND / tháng</t>
        </is>
      </c>
      <c r="F12" s="181" t="n"/>
      <c r="G12" s="155" t="inlineStr">
        <is>
          <t>Gọi AI + hạ tầng + bảo trì. Bản mẫu: 15 / 18 / 25 triệu.</t>
        </is>
      </c>
    </row>
    <row r="13" ht="15" customHeight="1" s="112">
      <c r="A13" s="151" t="inlineStr">
        <is>
          <t>Lãi suất chiết khấu / năm</t>
        </is>
      </c>
      <c r="B13" s="157" t="n">
        <v>0.15</v>
      </c>
      <c r="C13" s="157" t="n">
        <v>0.15</v>
      </c>
      <c r="D13" s="157" t="n">
        <v>0.15</v>
      </c>
      <c r="E13" s="153" t="inlineStr">
        <is>
          <t>%</t>
        </is>
      </c>
      <c r="F13" s="181" t="inlineStr">
        <is>
          <t>Giả định của lớp: chi phí vốn</t>
        </is>
      </c>
      <c r="G13" s="153" t="n"/>
    </row>
    <row r="15" ht="26.25" customHeight="1" s="112">
      <c r="A15" s="125" t="inlineStr">
        <is>
          <t>Kết quả</t>
        </is>
      </c>
      <c r="B15" s="125" t="inlineStr">
        <is>
          <t>Lạc quan</t>
        </is>
      </c>
      <c r="C15" s="125" t="inlineStr">
        <is>
          <t>Cơ sở</t>
        </is>
      </c>
      <c r="D15" s="125" t="inlineStr">
        <is>
          <t>Xấu</t>
        </is>
      </c>
      <c r="E15" s="125" t="inlineStr">
        <is>
          <t>Ngưỡng tham khảo</t>
        </is>
      </c>
    </row>
    <row r="16" ht="15" customHeight="1" s="112">
      <c r="A16" s="158" t="inlineStr">
        <is>
          <t>Giá trị tạo ra / tháng</t>
        </is>
      </c>
      <c r="B16" s="159">
        <f>B5*B6*52/12*B7*B8+B9</f>
        <v/>
      </c>
      <c r="C16" s="159">
        <f>C5*C6*52/12*C7*C8+C9</f>
        <v/>
      </c>
      <c r="D16" s="159">
        <f>D5*D6*52/12*D7*D8+D9</f>
        <v/>
      </c>
    </row>
    <row r="17" ht="15" customHeight="1" s="112">
      <c r="A17" s="158" t="inlineStr">
        <is>
          <t>Lợi ích ròng / tháng</t>
        </is>
      </c>
      <c r="B17" s="159">
        <f>B16-B12</f>
        <v/>
      </c>
      <c r="C17" s="159">
        <f>C16-C12</f>
        <v/>
      </c>
      <c r="D17" s="159">
        <f>D16-D12</f>
        <v/>
      </c>
      <c r="E17" s="111" t="inlineStr">
        <is>
          <t>&gt; 0</t>
        </is>
      </c>
    </row>
    <row r="18" ht="15" customHeight="1" s="112">
      <c r="A18" s="158" t="inlineStr">
        <is>
          <t>Đầu tư một lần</t>
        </is>
      </c>
      <c r="B18" s="159">
        <f>B10+B11</f>
        <v/>
      </c>
      <c r="C18" s="159">
        <f>C10+C11</f>
        <v/>
      </c>
      <c r="D18" s="159">
        <f>D10+D11</f>
        <v/>
      </c>
    </row>
    <row r="19" ht="15" customHeight="1" s="112">
      <c r="A19" s="158" t="inlineStr">
        <is>
          <t>Thời gian hoàn vốn</t>
        </is>
      </c>
      <c r="B19" s="213">
        <f>IF(B5=0,"Chưa điền",IF(B17&gt;0,B18/B17,"Không hoàn vốn"))</f>
        <v/>
      </c>
      <c r="C19" s="213">
        <f>IF(C5=0,"Chưa điền",IF(C17&gt;0,C18/C17,"Không hoàn vốn"))</f>
        <v/>
      </c>
      <c r="D19" s="213">
        <f>IF(D5=0,"Chưa điền",IF(D17&gt;0,D18/D17,"Không hoàn vốn"))</f>
        <v/>
      </c>
      <c r="E19" s="111" t="inlineStr">
        <is>
          <t>&lt; 12 tháng</t>
        </is>
      </c>
    </row>
    <row r="20" ht="15" customHeight="1" s="112">
      <c r="A20" s="158" t="inlineStr">
        <is>
          <t>Hiệu quả đầu tư sau 12 tháng (ROI)</t>
        </is>
      </c>
      <c r="B20" s="161">
        <f>IFERROR((12*B17-B18)/B18,0)</f>
        <v/>
      </c>
      <c r="C20" s="161">
        <f>IFERROR((12*C17-C18)/C18,0)</f>
        <v/>
      </c>
      <c r="D20" s="161">
        <f>IFERROR((12*D17-D18)/D18,0)</f>
        <v/>
      </c>
      <c r="E20" s="111" t="inlineStr">
        <is>
          <t>&gt; 0</t>
        </is>
      </c>
    </row>
    <row r="21" ht="15" customHeight="1" s="112">
      <c r="A21" s="158" t="inlineStr">
        <is>
          <t>Giá trị hiện tại ròng 24 tháng</t>
        </is>
      </c>
      <c r="B21" s="160">
        <f>PV(B13/12,24,-B17)-B18</f>
        <v/>
      </c>
      <c r="C21" s="160">
        <f>PV(C13/12,24,-C17)-C18</f>
        <v/>
      </c>
      <c r="D21" s="160">
        <f>PV(D13/12,24,-D17)-D18</f>
        <v/>
      </c>
      <c r="E21" s="111" t="inlineStr">
        <is>
          <t>&gt; 0</t>
        </is>
      </c>
    </row>
    <row r="22" ht="15" customHeight="1" s="112">
      <c r="A22" s="158" t="inlineStr">
        <is>
          <t>Đánh giá nhanh</t>
        </is>
      </c>
      <c r="B22" s="184">
        <f>IF(B5=0,"Chưa điền",IF(NOT(ISNUMBER(B19)),"Dừng",IF(B19&lt;12,"Làm","Thử nghiệm nhỏ")))</f>
        <v/>
      </c>
      <c r="C22" s="184">
        <f>IF(C5=0,"Chưa điền",IF(NOT(ISNUMBER(C19)),"Dừng",IF(C19&lt;12,"Làm","Thử nghiệm nhỏ")))</f>
        <v/>
      </c>
      <c r="D22" s="184">
        <f>IF(D5=0,"Chưa điền",IF(NOT(ISNUMBER(D19)),"Dừng",IF(D19&lt;12,"Làm","Thử nghiệm nhỏ")))</f>
        <v/>
      </c>
      <c r="E22" s="162" t="inlineStr">
        <is>
          <t>Hoàn vốn dưới 12 tháng: Làm · hoàn vốn được nhưng chậm: thử ở 1 phòng ban để đo tỷ lệ người dùng thật · không hoàn vốn: Dừng</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C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0" customWidth="1" style="111" min="1" max="1"/>
    <col width="24" customWidth="1" style="111" min="2" max="2"/>
    <col width="26" customWidth="1" style="111" min="3" max="3"/>
  </cols>
  <sheetData>
    <row r="1" ht="17.25" customHeight="1" s="112">
      <c r="A1" s="113" t="inlineStr">
        <is>
          <t>7 · Tự kiểm tra và ghi chú quyết định</t>
        </is>
      </c>
    </row>
    <row r="2" ht="31.5" customHeight="1" s="112">
      <c r="A2" s="114" t="inlineStr">
        <is>
          <t>Các dòng tự kiểm tra tự tính. "Xem lại" hay "Cần kế hoạch cắt giảm" là câu hỏi để soát, không bắt buộc thành "Đạt": sửa nếu nhập sai; nếu số đúng thì giữ nguyên và giải thích trong ghi chú. Không chỉnh giả định chỉ để đẹp số.</t>
        </is>
      </c>
    </row>
    <row r="4" ht="15" customHeight="1" s="112">
      <c r="A4" s="125" t="inlineStr">
        <is>
          <t>Điểm kiểm tra</t>
        </is>
      </c>
      <c r="B4" s="125" t="inlineStr">
        <is>
          <t>Kết quả (cơ sở)</t>
        </is>
      </c>
      <c r="C4" s="125" t="inlineStr">
        <is>
          <t>Đạt?</t>
        </is>
      </c>
    </row>
    <row r="5" ht="15" customHeight="1" s="112">
      <c r="A5" s="158" t="inlineStr">
        <is>
          <t>Phần chìm ≥ 30% chi phí gọi AI</t>
        </is>
      </c>
      <c r="B5" s="161">
        <f>'1_Chi phí mỗi việc'!B25</f>
        <v/>
      </c>
      <c r="C5" s="171">
        <f>IF(B5&gt;=0.3,"Đạt","Xem lại")</f>
        <v/>
      </c>
    </row>
    <row r="6" ht="15" customHeight="1" s="112">
      <c r="A6" s="158" t="inlineStr">
        <is>
          <t>Biên lợi nhuận gộp bình quân ≥ 60% (gói kết hợp)</t>
        </is>
      </c>
      <c r="B6" s="161">
        <f>'4_Chỉ số mỗi khách'!C7</f>
        <v/>
      </c>
      <c r="C6" s="171">
        <f>IF(B6&gt;=0.6,"Đạt","Xem lại")</f>
        <v/>
      </c>
    </row>
    <row r="7" ht="15" customHeight="1" s="112">
      <c r="A7" s="158" t="inlineStr">
        <is>
          <t>LTV ÷ CAC &gt; 3 (cơ sở)</t>
        </is>
      </c>
      <c r="B7" s="214">
        <f>'4_Chỉ số mỗi khách'!C11</f>
        <v/>
      </c>
      <c r="C7" s="171">
        <f>IF(B7&gt;3,"Đạt","Xem lại")</f>
        <v/>
      </c>
    </row>
    <row r="8" ht="15" customHeight="1" s="112">
      <c r="A8" s="158" t="inlineStr">
        <is>
          <t>Hoàn vốn chi phí có khách &lt; 12 tháng (cơ sở)</t>
        </is>
      </c>
      <c r="B8" s="182">
        <f>'4_Chỉ số mỗi khách'!C12</f>
        <v/>
      </c>
      <c r="C8" s="171">
        <f>IF(AND(B8&gt;0,B8&lt;12),"Đạt","Xem lại")</f>
        <v/>
      </c>
    </row>
    <row r="9" ht="15" customHeight="1" s="112">
      <c r="A9" s="158" t="inlineStr">
        <is>
          <t>Kịch bản xấu: rời bỏ và chi phí có khách đủ sốc (≥ 1,5 lần)</t>
        </is>
      </c>
      <c r="B9" s="171">
        <f>IF(AND('3_Giả định'!C9&gt;0,'3_Giả định'!C10&gt;0,'3_Giả định'!D9&gt;=1.5*'3_Giả định'!C9,'3_Giả định'!D10&gt;=1.5*'3_Giả định'!C10),"Có","Không")</f>
        <v/>
      </c>
      <c r="C9" s="171">
        <f>IF(B9="Có","Đạt","Xem lại")</f>
        <v/>
      </c>
    </row>
    <row r="10" ht="15" customHeight="1" s="112">
      <c r="A10" s="158" t="inlineStr">
        <is>
          <t>Kịch bản xấu: tháng hết tiền</t>
        </is>
      </c>
      <c r="B10" s="189">
        <f>'5_Dòng tiền &amp; hiệu quả'!D47</f>
        <v/>
      </c>
      <c r="C10" s="171">
        <f>IF(B10="Chưa điền","Chưa điền",IF(ISNUMBER(B10),IF(B10&gt;=12,"Đạt","Cần kế hoạch cắt giảm"),"Đạt"))</f>
        <v/>
      </c>
    </row>
    <row r="11" ht="15" customHeight="1" s="112">
      <c r="A11" s="158" t="inlineStr">
        <is>
          <t>Giá trị hiện tại ròng 24 tháng (cơ sở)</t>
        </is>
      </c>
      <c r="B11" s="159">
        <f>'5_Dòng tiền &amp; hiệu quả'!C44</f>
        <v/>
      </c>
      <c r="C11" s="171">
        <f>IF(B11&gt;0,"Đạt","Xem lại")</f>
        <v/>
      </c>
    </row>
    <row r="12" ht="15" customHeight="1" s="112">
      <c r="A12" s="158" t="inlineStr">
        <is>
          <t>Biến nguy hiểm nhất (bảng độ nhạy, trang 5)</t>
        </is>
      </c>
      <c r="B12" s="171">
        <f>'5_Dòng tiền &amp; hiệu quả'!B66</f>
        <v/>
      </c>
      <c r="C12" s="171">
        <f>IF(B12="Chưa đủ số liệu","Xem lại","Ghi vào câu 3")</f>
        <v/>
      </c>
    </row>
    <row r="13" ht="16.5" customHeight="1" s="112">
      <c r="A13" s="215" t="inlineStr">
        <is>
          <t>GHI CHÚ QUYẾT ĐỊNH: 5 câu, mỗi câu 1–3 câu văn, cả phần khoảng 200 chữ. Nhóm viết vào ô vàng dưới mỗi câu hỏi.</t>
        </is>
      </c>
    </row>
    <row r="14" ht="48.75" customHeight="1" s="112">
      <c r="A14" s="131" t="inlineStr">
        <is>
          <t>1. Quyết định: Làm (cả kịch bản cơ sở và xấu đều chịu được) / Thử nghiệm nhỏ (cơ sở tốt, xấu rủi ro: ghi quy mô, thời hạn) / Dừng (lỗ trên từng khách hoặc không hoàn vốn)? Vì sao? Nếu kịch bản xấu hết tiền trước tháng 12: ghi luôn kế hoạch cắt giảm.</t>
        </is>
      </c>
    </row>
    <row r="15" ht="48" customHeight="1" s="112">
      <c r="A15" s="163" t="inlineStr">
        <is>
          <t>Quyết định: THỬ NGHIỆM NHỎ (PILOT) trong 3 tháng với 30 văn phòng kế toán. Lý do: Kịch bản cơ sở có NPV 24 tháng đạt +935 triệu đồng, biên gộp 68,8%, LTV/CAC đạt 10,1 lần, khách hoàn vốn sau 3,3 tháng. Tuy nhiên, kịch bản xấu hết tiền ở tháng 7 (âm 3,09 tỷ, NPV -5,0 tỷ). Kế hoạch cắt giảm nếu xấu: giảm chi phí cố định từ 200 triệu xuống 120 triệu/tháng (giảm quy mô đội từ 6 xuống 3 người, trả bớt diện tích văn phòng) và chuyển sang gọi lô giảm 50% tiền API.</t>
        </is>
      </c>
      <c r="B15" s="216" t="n"/>
      <c r="C15" s="216" t="n"/>
    </row>
    <row r="17" ht="18.75" customHeight="1" s="112">
      <c r="A17" s="131" t="inlineStr">
        <is>
          <t>2. Giá bán và cách tính tiền đã chọn — vì sao khách chấp nhận mức đó?</t>
        </is>
      </c>
    </row>
    <row r="18" ht="48" customHeight="1" s="112">
      <c r="A18" s="163" t="inlineStr">
        <is>
          <t>Bảng giá kết hợp: 1.990.000 đồng/tháng (gồm 1.000 hoá đơn) và phí vượt 2.200 đồng/hoá đơn. Khách chấp nhận vì: Khách thường (800 HĐ) trả 1,99 triệu/tháng (chỉ bằng 24,9% lương nhân viên nhập liệu 8 triệu). Khách lớn (4.000 HĐ) trả 8,59 triệu/tháng (bằng 107% lương 1 người nhưng thực tế 4.000 HĐ thủ công cần 3-4 nhân viên tốn 24-32 triệu), giúp tiết kiệm hơn 65% chi phí nhân sự.</t>
        </is>
      </c>
      <c r="B18" s="216" t="n"/>
      <c r="C18" s="216" t="n"/>
    </row>
    <row r="20" ht="18.75" customHeight="1" s="112">
      <c r="A20" s="131" t="inlineStr">
        <is>
          <t>3. Biến số nguy hiểm nhất (theo bảng độ nhạy ở trang 5) và cách theo dõi.</t>
        </is>
      </c>
    </row>
    <row r="21" ht="48" customHeight="1" s="112">
      <c r="A21" s="163" t="inlineStr">
        <is>
          <t>Biến số nguy hiểm nhất: Doanh thu bình quân giảm (làm NPV giảm 2,9 tỷ đồng xuống -1,97 tỷ đồng, biến số gây thiệt hại nặng nhất bảng độ nhạy). Lý do là 64,9% doanh thu phụ thuộc vào 30% văn phòng lớn dùng nhiều. Cách theo dõi: Trưởng nhóm kinh doanh theo dõi hàng tuần tỷ lệ văn phòng lớn vượt hạn mức và doanh thu trung bình trên mỗi khách hàng.</t>
        </is>
      </c>
      <c r="B21" s="216" t="n"/>
      <c r="C21" s="216" t="n"/>
    </row>
    <row r="23" ht="63.75" customHeight="1" s="112">
      <c r="A23" s="131" t="inlineStr">
        <is>
          <t>4. Luật xử lý theo khuôn Ngày 23: NẾU [chỉ số vượt mức nào] TRONG [bao lâu, trên bao nhiêu khách] THÌ [việc cụ thể, bắt đầu bằng động từ] KHÔNG THÌ [việc cấm làm, để chặn phản xạ sai; không phải nhánh "ngược lại"]. Ví dụ: NẾU doanh thu bình quân dưới mức ở trang 5, dòng 72, TRONG 2 tháng liên tiếp trên ít nhất 20 khách, THÌ dừng mở rộng, thiết kế lại gói giá. KHÔNG THÌ không giảm giá gói cơ bản để kéo khách.</t>
        </is>
      </c>
    </row>
    <row r="24" ht="48" customHeight="1" s="112">
      <c r="A24" s="163" t="inlineStr">
        <is>
          <t>NẾU doanh thu bình quân trên mỗi văn phòng dưới 3.714.000 đồng (mức hoà vốn tự tính) TRONG 2 tháng liên tiếp, trên ít nhất 20 văn phòng đối tác THÌ tạm dừng mở rộng, thiết kế lại gói giá bậc thang cho khách lớn và kích hoạt kế hoạch giảm định phí KHÔNG THÌ không giảm giá phí vượt hạn mức dưới giá sàn 2.113 đồng/hoá đơn để câu khách.</t>
        </is>
      </c>
      <c r="B24" s="216" t="n"/>
      <c r="C24" s="216" t="n"/>
    </row>
    <row r="26" ht="33.75" customHeight="1" s="112">
      <c r="A26" s="131" t="inlineStr">
        <is>
          <t>5. Mức cảnh báo tự tính (trang 5, dòng 72–77) đã điền vào bảng theo dõi Ngày 23 thế nào? Chưa có bảng Ngày 23: chép các mức đó, ghi mức nào là "nguy", mức nào "đáng lo", và ai theo dõi hằng tuần.</t>
        </is>
      </c>
    </row>
    <row r="27" ht="48" customHeight="1" s="112">
      <c r="A27" s="144" t="inlineStr">
        <is>
          <t>Mức cảnh báo tự tính đã đưa vào bảng theo dõi: Doanh thu BQ tối thiểu 3.714.000 đồng/khách/tháng (dưới mức này là NGUY); Biên gộp tối thiểu 66,2% (dưới mức này là NGUY); CAC tối đa 11,3 triệu đồng (vượt mức này là ĐÁNG LO, tương ứng LTV/CAC về 3,0); Khách mới tháng đầu tối thiểu 10 văn phòng (dưới 8 là NGUY); Chi phí cố định tối đa 227 triệu đồng/tháng (vượt là NGUY). Trưởng nhóm kỹ thuật và tài chính theo dõi sáng thứ Hai hàng tuần.</t>
        </is>
      </c>
      <c r="B27" s="145" t="n"/>
      <c r="C27" s="146" t="n"/>
    </row>
  </sheetData>
  <sheetProtection selectLockedCells="0" selectUnlockedCells="0" sheet="1" objects="0" insertRows="1" insertHyperlinks="1" autoFilter="1" scenarios="0" formatColumns="0" deleteColumns="1" insertColumns="1" pivotTables="1" deleteRows="1" formatCells="1" formatRows="0" sort="1"/>
  <mergeCells count="12">
    <mergeCell ref="A20:C20"/>
    <mergeCell ref="A13:C13"/>
    <mergeCell ref="A23:C23"/>
    <mergeCell ref="A14:C14"/>
    <mergeCell ref="A17:C17"/>
    <mergeCell ref="A18:C18"/>
    <mergeCell ref="A27:C27"/>
    <mergeCell ref="A21:C21"/>
    <mergeCell ref="A15:C15"/>
    <mergeCell ref="A26:C26"/>
    <mergeCell ref="A24:C24"/>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D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11" min="1" max="1"/>
    <col width="30" customWidth="1" style="111" min="2" max="2"/>
    <col width="80" customWidth="1" style="111" min="3" max="3"/>
    <col width="40" customWidth="1" style="111" min="4" max="4"/>
  </cols>
  <sheetData>
    <row r="1" ht="17.25" customHeight="1" s="112">
      <c r="A1" s="113" t="inlineStr">
        <is>
          <t>8 · Thang điểm (100 điểm)</t>
        </is>
      </c>
    </row>
    <row r="2" ht="15" customHeight="1" s="112">
      <c r="A2" s="120" t="inlineStr">
        <is>
          <t>Trừ điểm: số bịa không có nguồn, chỉ 1 kịch bản, nhầm doanh thu với lợi nhuận.</t>
        </is>
      </c>
    </row>
    <row r="4" ht="15" customHeight="1" s="112">
      <c r="A4" s="125" t="inlineStr">
        <is>
          <t>Tiêu chí</t>
        </is>
      </c>
      <c r="B4" s="125" t="inlineStr">
        <is>
          <t>Điểm</t>
        </is>
      </c>
      <c r="C4" s="125" t="inlineStr">
        <is>
          <t>Bài đạt khi</t>
        </is>
      </c>
      <c r="D4" s="125" t="inlineStr">
        <is>
          <t>Điểm (giảng viên chấm, nhóm không điền)</t>
        </is>
      </c>
    </row>
    <row r="5" ht="15" customHeight="1" s="112">
      <c r="A5" s="158" t="inlineStr">
        <is>
          <t>Bài tập tài chính căn bản</t>
        </is>
      </c>
      <c r="B5" s="111" t="n">
        <v>10</v>
      </c>
      <c r="C5" s="115" t="inlineStr">
        <is>
          <t>Ba báo cáo đúng và khớp: bảng cân đối cân, tiền cuối kỳ khớp, trả lời đúng câu 1–3</t>
        </is>
      </c>
      <c r="D5" s="217" t="n"/>
    </row>
    <row r="6" ht="15" customHeight="1" s="112">
      <c r="A6" s="158" t="inlineStr">
        <is>
          <t>Chi phí mỗi việc đầy đủ</t>
        </is>
      </c>
      <c r="B6" s="111" t="n">
        <v>15</v>
      </c>
      <c r="C6" s="115" t="inlineStr">
        <is>
          <t>≥ 4 nhóm chi phí; chỉ gồm chi phí phục vụ (không lẫn R&amp;D, bán hàng); có tên mô hình và ngày tra giá</t>
        </is>
      </c>
      <c r="D6" s="217" t="n"/>
    </row>
    <row r="7" ht="15" customHeight="1" s="112">
      <c r="A7" s="158" t="inlineStr">
        <is>
          <t>Giá sống được trong mô hình</t>
        </is>
      </c>
      <c r="B7" s="111" t="n">
        <v>15</v>
      </c>
      <c r="C7" s="115" t="inlineStr">
        <is>
          <t>Giá lấy từ bài Ngày 22 và qua ba phép thử: neo lương 50–70%, tiền AI của khách dùng nhiều, biên sau chia đối tác</t>
        </is>
      </c>
      <c r="D7" s="217" t="n"/>
    </row>
    <row r="8" ht="15" customHeight="1" s="112">
      <c r="A8" s="158" t="inlineStr">
        <is>
          <t>Chỉ số trên mỗi khách</t>
        </is>
      </c>
      <c r="B8" s="111" t="n">
        <v>20</v>
      </c>
      <c r="C8" s="115" t="inlineStr">
        <is>
          <t>Công thức đúng; LTV tính trên lợi nhuận gộp; tỷ lệ rời bỏ và chi phí có khách có nguồn hoặc lý do rõ</t>
        </is>
      </c>
      <c r="D8" s="217" t="n"/>
    </row>
    <row r="9" ht="15" customHeight="1" s="112">
      <c r="A9" s="158" t="inlineStr">
        <is>
          <t>3 kịch bản và độ nhạy</t>
        </is>
      </c>
      <c r="B9" s="111" t="n">
        <v>20</v>
      </c>
      <c r="C9" s="115" t="inlineStr">
        <is>
          <t>Kịch bản xấu là cú sốc thật; đọc bảng độ nhạy và chỉ ra biến số nguy hiểm nhất</t>
        </is>
      </c>
      <c r="D9" s="217" t="n"/>
    </row>
    <row r="10" ht="15" customHeight="1" s="112">
      <c r="A10" s="158" t="inlineStr">
        <is>
          <t>Ghi chú quyết định và mức cảnh báo</t>
        </is>
      </c>
      <c r="B10" s="111" t="n">
        <v>20</v>
      </c>
      <c r="C10" s="115" t="inlineStr">
        <is>
          <t>Quyết định rõ, bảo vệ bằng số; luật xử lý theo khuôn Ngày 23; mức cảnh báo tự tính đưa vào bảng Ngày 23</t>
        </is>
      </c>
      <c r="D10" s="217" t="n"/>
    </row>
    <row r="11" ht="15" customHeight="1" s="112">
      <c r="A11" s="116" t="inlineStr">
        <is>
          <t>TỔNG</t>
        </is>
      </c>
      <c r="B11" s="111">
        <f>SUM(B5:B10)</f>
        <v/>
      </c>
      <c r="D11" s="171">
        <f>SUM(D5:D10)</f>
        <v/>
      </c>
    </row>
    <row r="12" ht="15" customHeight="1" s="112">
      <c r="A12" s="116" t="inlineStr">
        <is>
          <t>Điểm thưởng: dùng số thật từ buổi trước (trang 0)</t>
        </is>
      </c>
      <c r="B12" s="111" t="inlineStr">
        <is>
          <t>tối đa 10</t>
        </is>
      </c>
      <c r="C12" s="111" t="inlineStr">
        <is>
          <t>2 điểm/đầu vào đã có và thật sự được dùng; tổng điểm không quá 100</t>
        </is>
      </c>
      <c r="D12" s="217" t="n"/>
    </row>
    <row r="15" ht="15" customHeight="1" s="112">
      <c r="A15" s="188" t="inlineStr">
        <is>
          <t>THANG ĐIỂM TRÌNH BÀY (1–5 điểm mỗi tiêu chí)</t>
        </is>
      </c>
    </row>
    <row r="16" ht="15" customHeight="1" s="112">
      <c r="A16" s="125" t="inlineStr">
        <is>
          <t>Tiêu chí</t>
        </is>
      </c>
      <c r="B16" s="125" t="inlineStr">
        <is>
          <t>Mức 1</t>
        </is>
      </c>
      <c r="C16" s="125" t="inlineStr">
        <is>
          <t>Mức 3</t>
        </is>
      </c>
      <c r="D16" s="125" t="inlineStr">
        <is>
          <t>Mức 5</t>
        </is>
      </c>
    </row>
    <row r="17" ht="45.75" customHeight="1" s="112">
      <c r="A17" s="131" t="inlineStr">
        <is>
          <t>Rõ ràng</t>
        </is>
      </c>
      <c r="B17" s="218" t="inlineStr">
        <is>
          <t>Câu đầu chưa có quyết định; người nghe phải đoán nhóm đề xuất gì</t>
        </is>
      </c>
      <c r="C17" s="218" t="inlineStr">
        <is>
          <t>Có quyết định nhưng nói sau phần mở đầu, hoặc thiếu giá bán</t>
        </is>
      </c>
      <c r="D17" s="218" t="inlineStr">
        <is>
          <t>Câu đầu tiên có quyết định, giá bán và 1 lý do</t>
        </is>
      </c>
    </row>
    <row r="18" ht="45.75" customHeight="1" s="112">
      <c r="A18" s="131" t="inlineStr">
        <is>
          <t>Bằng chứng</t>
        </is>
      </c>
      <c r="B18" s="218" t="inlineStr">
        <is>
          <t>Con số không có nguồn, hoặc chỉ có kịch bản cơ sở</t>
        </is>
      </c>
      <c r="C18" s="218" t="inlineStr">
        <is>
          <t>Có số chính và nguồn, nhưng thiếu kịch bản xấu hoặc biến nguy hiểm nhất</t>
        </is>
      </c>
      <c r="D18" s="218" t="inlineStr">
        <is>
          <t>Đủ chi phí mỗi việc, biên lợi nhuận, LTV ÷ CAC, kịch bản xấu; số nào cũng có nguồn hoặc lý do</t>
        </is>
      </c>
    </row>
    <row r="19" ht="45.75" customHeight="1" s="112">
      <c r="A19" s="131" t="inlineStr">
        <is>
          <t>Trả lời phản biện</t>
        </is>
      </c>
      <c r="B19" s="218" t="inlineStr">
        <is>
          <t>Né câu hỏi hoặc trả lời chung chung</t>
        </is>
      </c>
      <c r="C19" s="218" t="inlineStr">
        <is>
          <t>Trả lời đúng ý nhưng không dẫn số</t>
        </is>
      </c>
      <c r="D19" s="218" t="inlineStr">
        <is>
          <t>Trả lời thẳng, dẫn đúng con số trong file</t>
        </is>
      </c>
    </row>
    <row r="20" ht="45.75" customHeight="1" s="112">
      <c r="A20" s="131" t="inlineStr">
        <is>
          <t>Đúng giờ</t>
        </is>
      </c>
      <c r="B20" s="218" t="inlineStr">
        <is>
          <t>Quá 4 phút</t>
        </is>
      </c>
      <c r="C20" s="218" t="inlineStr">
        <is>
          <t>Từ 3 đến 4 phút</t>
        </is>
      </c>
      <c r="D20" s="218" t="inlineStr">
        <is>
          <t>Không quá 3 phút</t>
        </is>
      </c>
    </row>
    <row r="22" ht="15" customHeight="1" s="112">
      <c r="A22" s="162" t="inlineStr">
        <is>
          <t>Mức 2 và 4 dùng khi bài nằm giữa hai mô tả. Điểm buổi = 60% sản phẩm + 40% trình bày (60% giảng viên + 40% các nhóm khác chấm, không tự chấm nhóm mình).</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E2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11" min="1" max="1"/>
    <col width="22" customWidth="1" style="111" min="2" max="3"/>
    <col width="70" customWidth="1" style="111" min="4" max="4"/>
    <col width="48" customWidth="1" style="111" min="5" max="5"/>
  </cols>
  <sheetData>
    <row r="1" ht="15" customHeight="1" s="112">
      <c r="A1" s="188" t="inlineStr">
        <is>
          <t>9 · Số tham khảo đã kiểm chứng (tra ngày 04/10/2026)</t>
        </is>
      </c>
    </row>
    <row r="2" ht="15" customHeight="1" s="112">
      <c r="A2" s="162" t="inlineStr">
        <is>
          <t>Giá thay đổi thường xuyên: trước khi dùng, mở lại đường dẫn và ghi ngày tra của nhóm. Số nào không có trong bảng, nhóm tự tìm nguồn hoặc ghi lý do.</t>
        </is>
      </c>
    </row>
    <row r="4" ht="27.75" customHeight="1" s="112">
      <c r="A4" s="125" t="inlineStr">
        <is>
          <t>Mô hình AI</t>
        </is>
      </c>
      <c r="B4" s="125" t="inlineStr">
        <is>
          <t>Đầu vào (USD / 1 triệu token)</t>
        </is>
      </c>
      <c r="C4" s="125" t="inlineStr">
        <is>
          <t>Đầu ra (USD / 1 triệu token)</t>
        </is>
      </c>
      <c r="D4" s="125" t="inlineStr">
        <is>
          <t>Nguồn chính thức</t>
        </is>
      </c>
      <c r="E4" s="125" t="inlineStr">
        <is>
          <t>Ghi chú</t>
        </is>
      </c>
    </row>
    <row r="5" ht="15" customHeight="1" s="112">
      <c r="A5" s="190" t="inlineStr">
        <is>
          <t>OpenAI GPT-6 Luna</t>
        </is>
      </c>
      <c r="B5" s="219" t="n">
        <v>0.1</v>
      </c>
      <c r="C5" s="219" t="n">
        <v>0.5</v>
      </c>
      <c r="D5" s="190" t="inlineStr">
        <is>
          <t>https://developers.openai.com/api/docs/pricing</t>
        </is>
      </c>
      <c r="E5" s="190" t="inlineStr">
        <is>
          <t>Mức Standard, ngữ cảnh ngắn</t>
        </is>
      </c>
    </row>
    <row r="6" ht="15" customHeight="1" s="112">
      <c r="A6" s="190" t="inlineStr">
        <is>
          <t>OpenAI GPT-6 Sol</t>
        </is>
      </c>
      <c r="B6" s="219" t="n">
        <v>2</v>
      </c>
      <c r="C6" s="219" t="n">
        <v>10</v>
      </c>
      <c r="D6" s="190" t="inlineStr">
        <is>
          <t>https://openai.com/index/introducing-gpt-6-sol-and-luna/</t>
        </is>
      </c>
      <c r="E6" s="190" t="inlineStr">
        <is>
          <t>Mức Standard</t>
        </is>
      </c>
    </row>
    <row r="7" ht="15" customHeight="1" s="112">
      <c r="A7" s="190" t="inlineStr">
        <is>
          <t>Anthropic Claude Haiku 4.5</t>
        </is>
      </c>
      <c r="B7" s="219" t="n">
        <v>1</v>
      </c>
      <c r="C7" s="219" t="n">
        <v>5</v>
      </c>
      <c r="D7" s="190" t="inlineStr">
        <is>
          <t>https://platform.claude.com/docs/en/models/haiku-4-5/overview</t>
        </is>
      </c>
      <c r="E7" s="190" t="n"/>
    </row>
    <row r="8" ht="15" customHeight="1" s="112">
      <c r="A8" s="190" t="inlineStr">
        <is>
          <t>Anthropic Claude Sonnet 5.5</t>
        </is>
      </c>
      <c r="B8" s="219" t="n">
        <v>2</v>
      </c>
      <c r="C8" s="219" t="n">
        <v>10</v>
      </c>
      <c r="D8" s="190" t="inlineStr">
        <is>
          <t>https://platform.claude.com/docs/en/models/haiku-4-5/overview</t>
        </is>
      </c>
      <c r="E8" s="190" t="inlineStr">
        <is>
          <t>Bảng so sánh trên cùng trang</t>
        </is>
      </c>
    </row>
    <row r="11" ht="15" customHeight="1" s="112">
      <c r="A11" s="125" t="inlineStr">
        <is>
          <t>Số liệu Việt Nam</t>
        </is>
      </c>
      <c r="B11" s="125" t="inlineStr">
        <is>
          <t>Giá trị</t>
        </is>
      </c>
      <c r="C11" s="125" t="inlineStr">
        <is>
          <t>Đơn vị</t>
        </is>
      </c>
      <c r="D11" s="125" t="inlineStr">
        <is>
          <t>Nguồn</t>
        </is>
      </c>
      <c r="E11" s="125" t="inlineStr">
        <is>
          <t>Ghi chú</t>
        </is>
      </c>
    </row>
    <row r="12" ht="15" customHeight="1" s="112">
      <c r="A12" s="190" t="inlineStr">
        <is>
          <t>Tỷ giá USD bán ra Vietcombank</t>
        </is>
      </c>
      <c r="B12" s="220" t="n">
        <v>26170</v>
      </c>
      <c r="C12" s="190" t="inlineStr">
        <is>
          <t>VND / USD</t>
        </is>
      </c>
      <c r="D12" s="190" t="inlineStr">
        <is>
          <t>https://thanhnien.vn/gia-usd-hom-nay-4102026-bien-dong-nhe-trong-tuan-khi-euro-bang-anh-tiep-tuc-giam-185261003210750485.htm</t>
        </is>
      </c>
      <c r="E12" s="190" t="inlineStr">
        <is>
          <t>Báo chí đưa tin sáng 04/10/2026; đối chiếu trang Vietcombank khi dùng</t>
        </is>
      </c>
    </row>
    <row r="13" ht="15" customHeight="1" s="112">
      <c r="A13" s="190" t="inlineStr">
        <is>
          <t>Tỷ giá trung tâm Ngân hàng Nhà nước</t>
        </is>
      </c>
      <c r="B13" s="220" t="n">
        <v>25636</v>
      </c>
      <c r="C13" s="190" t="inlineStr">
        <is>
          <t>VND / USD</t>
        </is>
      </c>
      <c r="D13" s="190" t="inlineStr">
        <is>
          <t>https://qdnd.vn/kinh-te/tin-tuc/ty-gia-usd-hom-nay-4-10-dong-usd-tang-tuan-thu-ba-lien-tiep-1059250</t>
        </is>
      </c>
      <c r="E13" s="190" t="inlineStr">
        <is>
          <t>Báo QĐND đưa tin ngày 04/10/2026</t>
        </is>
      </c>
    </row>
    <row r="14" ht="15" customHeight="1" s="112">
      <c r="A14" s="190" t="inlineStr">
        <is>
          <t>Lương tối thiểu tháng, vùng I (Hà Nội, TP.HCM)</t>
        </is>
      </c>
      <c r="B14" s="220" t="n">
        <v>5310000</v>
      </c>
      <c r="C14" s="190" t="inlineStr">
        <is>
          <t>VND / tháng</t>
        </is>
      </c>
      <c r="D14" s="190" t="inlineStr">
        <is>
          <t>https://xaydungchinhsach.chinhphu.vn/tu-1-1-2026-muc-luong-toi-thieu-duoc-tang-bao-nhieu-119251111091442629.htm</t>
        </is>
      </c>
      <c r="E14" s="190" t="inlineStr">
        <is>
          <t>Nghị định 293/2025/NĐ-CP, hiệu lực 01/01/2026</t>
        </is>
      </c>
    </row>
    <row r="15" ht="15" customHeight="1" s="112">
      <c r="A15" s="190" t="inlineStr">
        <is>
          <t>Lương tối thiểu giờ, vùng I</t>
        </is>
      </c>
      <c r="B15" s="220" t="n">
        <v>25500</v>
      </c>
      <c r="C15" s="190" t="inlineStr">
        <is>
          <t>VND / giờ</t>
        </is>
      </c>
      <c r="D15" s="190" t="inlineStr">
        <is>
          <t>https://xaydungchinhsach.chinhphu.vn/tu-1-1-2026-muc-luong-toi-thieu-duoc-tang-bao-nhieu-119251111091442629.htm</t>
        </is>
      </c>
      <c r="E15" s="190" t="inlineStr">
        <is>
          <t>Nghị định 293/2025/NĐ-CP; là mức sàn, chưa gồm bảo hiểm</t>
        </is>
      </c>
    </row>
    <row r="18" ht="15" customHeight="1" s="112">
      <c r="A18" s="125" t="inlineStr">
        <is>
          <t>Số KHÔNG có trong bảng</t>
        </is>
      </c>
      <c r="B18" s="125" t="inlineStr">
        <is>
          <t>Cách xử lý</t>
        </is>
      </c>
    </row>
    <row r="19" ht="48" customHeight="1" s="112">
      <c r="A19" s="218" t="inlineStr">
        <is>
          <t>Tỷ lệ rời bỏ, chi phí có một khách của SME Việt Nam</t>
        </is>
      </c>
      <c r="B19" s="218" t="inlineStr">
        <is>
          <t>Lớp chưa kiểm chứng được nguồn công khai đáng tin. Dùng số từ phỏng vấn hoặc thử nghiệm; nếu không có, ghi dải giả định và lý do. Không ghi "theo số chuẩn ngành" khi không chỉ ra được nguồn. Nếu có dải: số giữa vào cột Cơ sở, hai đầu dải vào Lạc quan và Xấu.</t>
        </is>
      </c>
    </row>
    <row r="20" ht="48" customHeight="1" s="112">
      <c r="A20" s="218" t="inlineStr">
        <is>
          <t>LTV ÷ CAC &gt; 3, hoàn vốn chi phí có khách &lt; 12 tháng</t>
        </is>
      </c>
      <c r="B20" s="218" t="inlineStr">
        <is>
          <t>Ngưỡng tham khảo phổ biến trong ngành phần mềm thuê bao; lớp chưa kiểm chứng nguồn sơ cấp. Dùng để đọc kết quả, không phải luật.</t>
        </is>
      </c>
    </row>
    <row r="21" ht="48" customHeight="1" s="112">
      <c r="A21" s="218" t="inlineStr">
        <is>
          <t>Giá sàn gấp 3 lần chi phí mỗi việc; phần chìm ≥ 30% chi phí gọi AI</t>
        </is>
      </c>
      <c r="B21" s="218" t="inlineStr">
        <is>
          <t>Kinh nghiệm của giảng viên, không phải chuẩn ngành.</t>
        </is>
      </c>
    </row>
    <row r="23" ht="15" customHeight="1" s="112">
      <c r="A23" s="125" t="inlineStr">
        <is>
          <t>Ngưỡng nghe ở Ngày 22–23</t>
        </is>
      </c>
      <c r="B23" s="125" t="inlineStr">
        <is>
          <t>Cách dùng hôm nay</t>
        </is>
      </c>
    </row>
    <row r="24" ht="48" customHeight="1" s="112">
      <c r="A24" s="218" t="inlineStr">
        <is>
          <t>Biên lợi nhuận gộp ≥ 60%, dưới 50% là nguy (Ngày 22, slide 8)</t>
        </is>
      </c>
      <c r="B24" s="218" t="inlineStr">
        <is>
          <t>Diễn giả nêu, không kèm nguồn. Ngày 23 (slide 34) dẫn số thực đo của công ty AI chỉ 45–53% — chưa kiểm chứng. Dùng mức tối thiểu tự tính ở trang 5.</t>
        </is>
      </c>
    </row>
    <row r="25" ht="48" customHeight="1" s="112">
      <c r="A25" s="218" t="inlineStr">
        <is>
          <t>Neo giá ở 50–70% lương người được thay (Ngày 22, slide 9)</t>
        </is>
      </c>
      <c r="B25" s="218" t="inlineStr">
        <is>
          <t>Kinh nghiệm diễn giả. Dùng làm phép thử ở trang 2, không phải luật.</t>
        </is>
      </c>
    </row>
    <row r="26" ht="48" customHeight="1" s="112">
      <c r="A26" s="218" t="inlineStr">
        <is>
          <t>Ranh giới bán tự phục vụ dưới 50 USD, bán trực tiếp trên 1.000 USD mỗi tháng (Ngày 22, slide 17–18)</t>
        </is>
      </c>
      <c r="B26" s="218" t="inlineStr">
        <is>
          <t>Ngưỡng của thị trường Mỹ. Ranh giới của nhóm là chi phí có một khách tối đa tự tính ở trang 5.</t>
        </is>
      </c>
    </row>
    <row r="27" ht="48" customHeight="1" s="112">
      <c r="A27" s="218" t="inlineStr">
        <is>
          <t>GitHub Copilot thu 10 USD, chi 80 USD, lỗ 70 USD mỗi người (Ngày 22, slide 3)</t>
        </is>
      </c>
      <c r="B27" s="218" t="inlineStr">
        <is>
          <t>WSJ 10/2023 đưa tin lỗ trung bình khoảng 20 USD/người/tháng; 80 USD là mức của một số người dùng nặng. Theo bản tóm tắt của AI Business, chưa đọc bài gốc WSJ.</t>
        </is>
      </c>
    </row>
    <row r="28" ht="48" customHeight="1" s="112">
      <c r="A28" s="218" t="inlineStr">
        <is>
          <t>Nhãn nguồn [NGÀNH] · [TỰ TÍNH] · [TỰ ĐO] (Ngày 23, slide 11)</t>
        </is>
      </c>
      <c r="B28" s="218" t="inlineStr">
        <is>
          <t>Dùng ba nhãn này trong cột "Nguồn / lý do". Số chưa có nguồn, chưa đo: ghi "Giả định: … vì …", không gắn [NGÀNH].</t>
        </is>
      </c>
    </row>
  </sheetData>
  <sheetProtection selectLockedCells="0" selectUnlockedCells="0" sheet="1" objects="0" insertRows="1" insertHyperlinks="1" autoFilter="1" scenarios="0" formatColumns="0" deleteColumns="1" insertColumns="1" pivotTables="1" deleteRows="1" formatCells="1" formatRows="0" sort="1"/>
  <mergeCells count="8">
    <mergeCell ref="B26:E26"/>
    <mergeCell ref="B27:E27"/>
    <mergeCell ref="B21:E21"/>
    <mergeCell ref="B25:E25"/>
    <mergeCell ref="B24:E24"/>
    <mergeCell ref="B19:E19"/>
    <mergeCell ref="B20:E20"/>
    <mergeCell ref="B28:E2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2026-10-04T05:18:06Z</dcterms:created>
  <dcterms:modified xmlns:dcterms="http://purl.org/dc/terms/" xmlns:xsi="http://www.w3.org/2001/XMLSchema-instance" xsi:type="dcterms:W3CDTF">2026-10-12T13:34:34Z</dcterms:modified>
  <cp:revision>0</cp:revision>
</cp:coreProperties>
</file>